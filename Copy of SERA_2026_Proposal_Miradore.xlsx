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Calendar" sheetId="1" r:id="rId5"/>
    <sheet state="visible" name="Technical Proposal" sheetId="2" r:id="rId6"/>
  </sheets>
  <definedNames/>
  <calcPr/>
</workbook>
</file>

<file path=xl/sharedStrings.xml><?xml version="1.0" encoding="utf-8"?>
<sst xmlns="http://schemas.openxmlformats.org/spreadsheetml/2006/main" count="544" uniqueCount="376">
  <si>
    <t>SERA 2026 — ANNUAL EVENT CALENDAR &amp; BUDGET OVERVIEW</t>
  </si>
  <si>
    <t>Saudi Electricity Regulatory Authority (هيئة تنظيم الكهرباء) | All Events in Riyadh | Agency Commission: 15%</t>
  </si>
  <si>
    <t>#</t>
  </si>
  <si>
    <t>Event Name</t>
  </si>
  <si>
    <t>Arabic Name</t>
  </si>
  <si>
    <t>Date</t>
  </si>
  <si>
    <t>Qtr</t>
  </si>
  <si>
    <t>Category</t>
  </si>
  <si>
    <t>Est. Attendance</t>
  </si>
  <si>
    <t>Event Tier</t>
  </si>
  <si>
    <t>Annual Meeting 2026</t>
  </si>
  <si>
    <t>الاجتماع السنوي</t>
  </si>
  <si>
    <t>February 3</t>
  </si>
  <si>
    <t>Q1</t>
  </si>
  <si>
    <t>Corporate Conference</t>
  </si>
  <si>
    <t>Major</t>
  </si>
  <si>
    <t>Founding Day</t>
  </si>
  <si>
    <t>يوم التأسيس</t>
  </si>
  <si>
    <t>February 22</t>
  </si>
  <si>
    <t>National Celebration</t>
  </si>
  <si>
    <t>Light</t>
  </si>
  <si>
    <t>Employee Appreciation Day</t>
  </si>
  <si>
    <t>يوم تقدير الموظف</t>
  </si>
  <si>
    <t>March 2</t>
  </si>
  <si>
    <t>Recognition Gala</t>
  </si>
  <si>
    <t>International Women's Day</t>
  </si>
  <si>
    <t>اليوم العالمي للمرأة</t>
  </si>
  <si>
    <t>March 8</t>
  </si>
  <si>
    <t>Awareness/Celebration</t>
  </si>
  <si>
    <t>Medium</t>
  </si>
  <si>
    <t>Saudi Flag Day</t>
  </si>
  <si>
    <t>يوم العلم السعودي</t>
  </si>
  <si>
    <t>March 11</t>
  </si>
  <si>
    <t>Patriotic Celebration</t>
  </si>
  <si>
    <t>Ramadan Iftar</t>
  </si>
  <si>
    <t>إفطار رمضان</t>
  </si>
  <si>
    <t>Mid-March</t>
  </si>
  <si>
    <t>Corporate Iftar</t>
  </si>
  <si>
    <t>Mother's Day</t>
  </si>
  <si>
    <t>يوم الأم</t>
  </si>
  <si>
    <t>March 21</t>
  </si>
  <si>
    <t>Appreciation Event</t>
  </si>
  <si>
    <t>Saudi Green Initiative</t>
  </si>
  <si>
    <t>المبادرة الخضراء السعودية</t>
  </si>
  <si>
    <t>March 27</t>
  </si>
  <si>
    <t>Sustainability Awareness</t>
  </si>
  <si>
    <t>Ehsan Philanthropy Campaign</t>
  </si>
  <si>
    <t>حملة إحسان</t>
  </si>
  <si>
    <t>March</t>
  </si>
  <si>
    <t>CSR/Charity</t>
  </si>
  <si>
    <t>Eid Al-Fitr Celebration</t>
  </si>
  <si>
    <t>احتفال عيد الفطر</t>
  </si>
  <si>
    <t>Early April</t>
  </si>
  <si>
    <t>Q2</t>
  </si>
  <si>
    <t>Major Gala</t>
  </si>
  <si>
    <t>Creativity &amp; Innovation Day</t>
  </si>
  <si>
    <t>يوم الإبداع والابتكار</t>
  </si>
  <si>
    <t>April 21</t>
  </si>
  <si>
    <t>Professional Development</t>
  </si>
  <si>
    <t>International Tea Day</t>
  </si>
  <si>
    <t>اليوم العالمي للشاي</t>
  </si>
  <si>
    <t>May 21</t>
  </si>
  <si>
    <t>Social/Wellness</t>
  </si>
  <si>
    <t>Joy Clothing Drive</t>
  </si>
  <si>
    <t>كسوة فرح</t>
  </si>
  <si>
    <t>May</t>
  </si>
  <si>
    <t>World No Tobacco Day</t>
  </si>
  <si>
    <t>اليوم العالمي لمكافحة التدخين</t>
  </si>
  <si>
    <t>May 31</t>
  </si>
  <si>
    <t>Health Awareness</t>
  </si>
  <si>
    <t>Blood Donation Day</t>
  </si>
  <si>
    <t>يوم التبرع بالدم</t>
  </si>
  <si>
    <t>June 14</t>
  </si>
  <si>
    <t>CSR/Health</t>
  </si>
  <si>
    <t>Father's Day</t>
  </si>
  <si>
    <t>يوم الأب</t>
  </si>
  <si>
    <t>June 15</t>
  </si>
  <si>
    <t>Eid Al-Adha Celebration</t>
  </si>
  <si>
    <t>احتفال عيد الأضحى</t>
  </si>
  <si>
    <t>Mid-June</t>
  </si>
  <si>
    <t>Summer SERA (صيف سيرا)</t>
  </si>
  <si>
    <t>صيف سيرا</t>
  </si>
  <si>
    <t>July 20</t>
  </si>
  <si>
    <t>Q3</t>
  </si>
  <si>
    <t>Seasonal Family Event</t>
  </si>
  <si>
    <t>SERA Winter (شتوية سيرا)</t>
  </si>
  <si>
    <t>شتوية سيرا</t>
  </si>
  <si>
    <t>August 19</t>
  </si>
  <si>
    <t>Seasonal Indoor Event</t>
  </si>
  <si>
    <t>World First Aid Day</t>
  </si>
  <si>
    <t>اليوم العالمي للإسعافات الأولية</t>
  </si>
  <si>
    <t>September 13</t>
  </si>
  <si>
    <t>تزود Skills Development</t>
  </si>
  <si>
    <t>تزوّد</t>
  </si>
  <si>
    <t>September</t>
  </si>
  <si>
    <t>World Alzheimer's Day</t>
  </si>
  <si>
    <t>اليوم العالمي للزهايمر</t>
  </si>
  <si>
    <t>September 21</t>
  </si>
  <si>
    <t>وش دورنا – What's Our Role</t>
  </si>
  <si>
    <t>وش دورنا</t>
  </si>
  <si>
    <t>Internal Engagement</t>
  </si>
  <si>
    <t>Saudi National Day (96th)</t>
  </si>
  <si>
    <t>اليوم الوطني السعودي</t>
  </si>
  <si>
    <t>September 23</t>
  </si>
  <si>
    <t>Environment Week</t>
  </si>
  <si>
    <t>أسبوع البيئة</t>
  </si>
  <si>
    <t>Q3 TBD</t>
  </si>
  <si>
    <t>International Coffee Day</t>
  </si>
  <si>
    <t>اليوم العالمي للقهوة</t>
  </si>
  <si>
    <t>October 1</t>
  </si>
  <si>
    <t>Q4</t>
  </si>
  <si>
    <t>Breast Cancer Awareness Day</t>
  </si>
  <si>
    <t>اليوم العالمي لسرطان الثدي</t>
  </si>
  <si>
    <t>October</t>
  </si>
  <si>
    <t>Cybersecurity Exhibition</t>
  </si>
  <si>
    <t>معرض الأمن السيبراني</t>
  </si>
  <si>
    <t>October TBD</t>
  </si>
  <si>
    <t>Professional/Awareness</t>
  </si>
  <si>
    <t>World Mental Health Day</t>
  </si>
  <si>
    <t>اليوم العالمي للصحة النفسية</t>
  </si>
  <si>
    <t>October 10</t>
  </si>
  <si>
    <t>World Savings Day</t>
  </si>
  <si>
    <t>اليوم العالمي للادخار</t>
  </si>
  <si>
    <t>October 31</t>
  </si>
  <si>
    <t>Financial Awareness</t>
  </si>
  <si>
    <t>Quality Day</t>
  </si>
  <si>
    <t>يوم الجودة</t>
  </si>
  <si>
    <t>November 10</t>
  </si>
  <si>
    <t>Flu Vaccination Campaign</t>
  </si>
  <si>
    <t>حملة التطعيم ضد الإنفلونزا</t>
  </si>
  <si>
    <t>November</t>
  </si>
  <si>
    <t>Health Campaign</t>
  </si>
  <si>
    <t>World Diabetes Day</t>
  </si>
  <si>
    <t>اليوم العالمي للسكري</t>
  </si>
  <si>
    <t>November 14</t>
  </si>
  <si>
    <t>International Men's Day</t>
  </si>
  <si>
    <t>اليوم العالمي للرجل</t>
  </si>
  <si>
    <t>November 19</t>
  </si>
  <si>
    <t>Universal Children's Day</t>
  </si>
  <si>
    <t>اليوم العالمي للطفل</t>
  </si>
  <si>
    <t>November 20</t>
  </si>
  <si>
    <t>CSR/Family</t>
  </si>
  <si>
    <t>Volunteer Day</t>
  </si>
  <si>
    <t>يوم التطوع</t>
  </si>
  <si>
    <t>December 5</t>
  </si>
  <si>
    <t>CSR Activity</t>
  </si>
  <si>
    <t>Anti-Corruption Day</t>
  </si>
  <si>
    <t>اليوم العالمي لمكافحة الفساد</t>
  </si>
  <si>
    <t>December 9</t>
  </si>
  <si>
    <t>Awareness</t>
  </si>
  <si>
    <t>Transformation Activities</t>
  </si>
  <si>
    <t>أنشطة ومبادرات التحول</t>
  </si>
  <si>
    <t>Q4 TBD</t>
  </si>
  <si>
    <t>Digital Transformation</t>
  </si>
  <si>
    <t>Ideal Office Competition</t>
  </si>
  <si>
    <t>المكتب المثالي</t>
  </si>
  <si>
    <t>Internal Competition</t>
  </si>
  <si>
    <t>Arabic Language Day</t>
  </si>
  <si>
    <t>اليوم العالمي للغة العربية</t>
  </si>
  <si>
    <t>December 18</t>
  </si>
  <si>
    <t>Cultural Celebration</t>
  </si>
  <si>
    <t>Year-End Celebration</t>
  </si>
  <si>
    <t>حفل نهاية العام</t>
  </si>
  <si>
    <t>Late December</t>
  </si>
  <si>
    <t>S1</t>
  </si>
  <si>
    <t>Football Tournament</t>
  </si>
  <si>
    <t>بطولة كرة القدم</t>
  </si>
  <si>
    <t>TBD (3 weekends)</t>
  </si>
  <si>
    <t>Sports</t>
  </si>
  <si>
    <t>Sports Competition</t>
  </si>
  <si>
    <t>S2</t>
  </si>
  <si>
    <t>Padel Tournament</t>
  </si>
  <si>
    <t>بطولة البادل</t>
  </si>
  <si>
    <t>TBD (2 weekends)</t>
  </si>
  <si>
    <t>S3</t>
  </si>
  <si>
    <t>Walking Challenge &amp; SERA Friday</t>
  </si>
  <si>
    <t>تحدي المشي + جمعة سيرا</t>
  </si>
  <si>
    <t>Quarterly + Annual</t>
  </si>
  <si>
    <t>Sports/Wellness</t>
  </si>
  <si>
    <t>BUDGET SUMMARY (Linked from Financial Proposal &amp; Sports Budget)</t>
  </si>
  <si>
    <t># Events</t>
  </si>
  <si>
    <t>Total (SAR)</t>
  </si>
  <si>
    <t>% of Annual</t>
  </si>
  <si>
    <t>Q1 Events</t>
  </si>
  <si>
    <t>Q2 Events</t>
  </si>
  <si>
    <t>Q3 Events</t>
  </si>
  <si>
    <t>Q4 Events</t>
  </si>
  <si>
    <t>Sports Events</t>
  </si>
  <si>
    <t>GRAND TOTAL (ex-VAT)</t>
  </si>
  <si>
    <t>VAT (15%)</t>
  </si>
  <si>
    <t>★ GRAND TOTAL (inc. VAT)</t>
  </si>
  <si>
    <t>SERA 2026 — TECHNICAL PROPOSAL (EVENT SPECIFICATIONS)</t>
  </si>
  <si>
    <t>Venue Recommendation</t>
  </si>
  <si>
    <t>Stage &amp; Décor</t>
  </si>
  <si>
    <t>Audio-Visual Requirements</t>
  </si>
  <si>
    <t>Key Services &amp; Scope</t>
  </si>
  <si>
    <t>Feb 3</t>
  </si>
  <si>
    <t>5-Star Hotel Ballroom (Ritz-Carlton / Four Seasons)</t>
  </si>
  <si>
    <t>Stage 8m×5m, branded backdrop, podium with SERA logo</t>
  </si>
  <si>
    <t>LED Wall P2.5 5m×3m, Line-array sound, 6 wireless mics, live streaming</t>
  </si>
  <si>
    <t>Simultaneous AR/EN translation, Prof. MC, Registration QR system, Photography (2), Videography (2), Printed materials</t>
  </si>
  <si>
    <t>Feb 22</t>
  </si>
  <si>
    <t>SERA HQ – Internal</t>
  </si>
  <si>
    <t>Heritage displays, Founding Day national theme</t>
  </si>
  <si>
    <t>Sound for anthem + speeches</t>
  </si>
  <si>
    <t>Heritage displays, commemorative items, social media live coverage</t>
  </si>
  <si>
    <t>Mar 2</t>
  </si>
  <si>
    <t>5-Star Hotel – Gala round-table setup</t>
  </si>
  <si>
    <t>Gala stage, premium décor, uplighting, award pedestals</t>
  </si>
  <si>
    <t>Full AV, spotlight for awards, background music system</t>
  </si>
  <si>
    <t>12 crystal trophies, Live band (2.5hr), Gift boxes, Prof. MC, Full photo/video team</t>
  </si>
  <si>
    <t>Mar 8</t>
  </si>
  <si>
    <t>Boutique venue or hotel ladies' section</t>
  </si>
  <si>
    <t>Elegant feminine décor, premium floral arrangements</t>
  </si>
  <si>
    <t>Projector, wireless mic, ambient music</t>
  </si>
  <si>
    <t>Female keynote + panel (3 speakers), Photo booth, Curated gift bags, Female photographer</t>
  </si>
  <si>
    <t>Mar 11</t>
  </si>
  <si>
    <t>SERA HQ – Lobby &amp; outdoor</t>
  </si>
  <si>
    <t>Large Saudi flag (5m+), national green/white theme</t>
  </si>
  <si>
    <t>Portable sound for anthem + speeches</t>
  </si>
  <si>
    <t>Flag ceremony, Commemorative items, Social media live coverage</t>
  </si>
  <si>
    <t>Mid-Mar</t>
  </si>
  <si>
    <t>5-Star Hotel Ramadan Tent</t>
  </si>
  <si>
    <t>Traditional Ramadan décor: lanterns, crescents, VIP majlis</t>
  </si>
  <si>
    <t>Ambient lighting, background system</t>
  </si>
  <si>
    <t>Premium Iftar buffet, Oud player, Ramadan gift boxes, Prayer area arrangement</t>
  </si>
  <si>
    <t>Mar 21</t>
  </si>
  <si>
    <t>Elegant restaurant private section</t>
  </si>
  <si>
    <t>Floral-themed décor, photo area</t>
  </si>
  <si>
    <t>Basic sound for music/announcements</t>
  </si>
  <si>
    <t>Flower gifts, Special mother gifts, Entertainment, Photography</t>
  </si>
  <si>
    <t>Mar 27</t>
  </si>
  <si>
    <t>SERA HQ – Exhibition area</t>
  </si>
  <si>
    <t>Green/sustainability themed booths, eco displays</t>
  </si>
  <si>
    <t>Presentation setup, ambient music</t>
  </si>
  <si>
    <t>Environmental expert, Green exhibits, Eco giveaways, Sustainability displays</t>
  </si>
  <si>
    <t>SERA HQ – Lobby area</t>
  </si>
  <si>
    <t>Ehsan platform displays, donation stations</t>
  </si>
  <si>
    <t>Basic presentation setup</t>
  </si>
  <si>
    <t>Campaign awareness booth, QR donation stations, Impact stories display</t>
  </si>
  <si>
    <t>Early Apr</t>
  </si>
  <si>
    <t>5-Star Hotel Grand Ballroom</t>
  </si>
  <si>
    <t>Festive Eid gold/white, large stage, entrance arch</t>
  </si>
  <si>
    <t>Full production: LED wall, concert sound, lighting design</t>
  </si>
  <si>
    <t>Ardah troupe + live music, Eid gifts, Children's corner (optional), Prof. MC</t>
  </si>
  <si>
    <t>Apr 21</t>
  </si>
  <si>
    <t>Conference Center</t>
  </si>
  <si>
    <t>Main stage + 10 department innovation booths</t>
  </si>
  <si>
    <t>Conference AV, booth displays, digital voting</t>
  </si>
  <si>
    <t>Keynote speaker, Innovation competition, 7 awards, Interactive voting</t>
  </si>
  <si>
    <t>SERA HQ Common Areas</t>
  </si>
  <si>
    <t>Tea-themed décor, 3 service stations</t>
  </si>
  <si>
    <t>Background music</t>
  </si>
  <si>
    <t>Arabic/English/Asian tea stations, Gourmet pairings, Tea culture displays</t>
  </si>
  <si>
    <t>SERA HQ – Collection area</t>
  </si>
  <si>
    <t>Collection booths, sorting stations, CSR banners</t>
  </si>
  <si>
    <t>None needed</t>
  </si>
  <si>
    <t>Collection points, volunteer coordination, sorting &amp; distribution logistics</t>
  </si>
  <si>
    <t>SERA HQ – Health zone</t>
  </si>
  <si>
    <t>Anti-smoking displays, health info panels</t>
  </si>
  <si>
    <t>Presentation setup</t>
  </si>
  <si>
    <t>Health expert speaker, CO breath test station, Awareness materials</t>
  </si>
  <si>
    <t>Jun 14</t>
  </si>
  <si>
    <t>SERA HQ – Medical setup area</t>
  </si>
  <si>
    <t>Awareness materials, registration area, recovery zone</t>
  </si>
  <si>
    <t>Digital screens with awareness content</t>
  </si>
  <si>
    <t>Red Crescent partnership, Pre-event campaign, Donor gifts &amp; certificates</t>
  </si>
  <si>
    <t>Jun 15</t>
  </si>
  <si>
    <t>Restaurant / Event space</t>
  </si>
  <si>
    <t>Celebration décor, activity zone</t>
  </si>
  <si>
    <t>Sound system</t>
  </si>
  <si>
    <t>Gifts for fathers (50% assumed), Team-building activities</t>
  </si>
  <si>
    <t>Mid-Jun</t>
  </si>
  <si>
    <t>Traditional Arabian Eid theme, large stage</t>
  </si>
  <si>
    <t>Full production: LED, concert sound, lighting</t>
  </si>
  <si>
    <t>Ardah + live music, Lamb-focused feast, Eid gifts, Prof. MC</t>
  </si>
  <si>
    <t>Jul 20</t>
  </si>
  <si>
    <t>Entertainment venue – EVENING ONLY (45°C heat)</t>
  </si>
  <si>
    <t>Multi-zone: main stage, kids zone, food area, games</t>
  </si>
  <si>
    <t>Concert-grade outdoor sound &amp; lighting</t>
  </si>
  <si>
    <t>Headline entertainment, Kids zone, 10 game booths, Food festival, Raffle, Family gifts</t>
  </si>
  <si>
    <t>Aug 19</t>
  </si>
  <si>
    <t>Indoor entertainment venue (air-conditioned)</t>
  </si>
  <si>
    <t>Winter wonderland theme, snow effects, ambient lighting</t>
  </si>
  <si>
    <t>Full AV, music, effects</t>
  </si>
  <si>
    <t>Entertainment program, Food stations, Photo booth, Winter-themed activities</t>
  </si>
  <si>
    <t>Sep 13</t>
  </si>
  <si>
    <t>SERA HQ – Training area</t>
  </si>
  <si>
    <t>First aid training layout, demo stations</t>
  </si>
  <si>
    <t>CPR training workshop, First aid kits, Paramedic expert, Certification</t>
  </si>
  <si>
    <t>Sep</t>
  </si>
  <si>
    <t>Conference / Training Venue</t>
  </si>
  <si>
    <t>Professional training setup, workshop layout</t>
  </si>
  <si>
    <t>Conference AV, projector, mics</t>
  </si>
  <si>
    <t>Expert trainers (2 sessions), Training materials, Certificates, Full-day program</t>
  </si>
  <si>
    <t>Sep 21</t>
  </si>
  <si>
    <t>SERA HQ</t>
  </si>
  <si>
    <t>Purple awareness theme, info booth</t>
  </si>
  <si>
    <t>Healthcare expert speaker, Purple ribbons, Awareness displays</t>
  </si>
  <si>
    <t>SERA HQ – Meeting area</t>
  </si>
  <si>
    <t>Interactive workshop layout, role displays</t>
  </si>
  <si>
    <t>Basic AV for presentations</t>
  </si>
  <si>
    <t>Professional facilitator, Interactive exercises, Role guides, Team activities</t>
  </si>
  <si>
    <t>Sep 23</t>
  </si>
  <si>
    <t>Premium venue with outdoor option</t>
  </si>
  <si>
    <t>Premium green national décor, flags, national symbols</t>
  </si>
  <si>
    <t>Full AV production, LED national content, green effects</t>
  </si>
  <si>
    <t>Ardah troupe, Cultural acts, National gifts, Green lighting effects. BOOK 3-4 MONTHS AHEAD</t>
  </si>
  <si>
    <t>SERA HQ – Exhibition area (5 days)</t>
  </si>
  <si>
    <t>Green/eco displays, sustainability booths, plant features</t>
  </si>
  <si>
    <t>Daily presentation setup</t>
  </si>
  <si>
    <t>5-day program, Expert speakers, Tree planting, Eco workshops, Green activities</t>
  </si>
  <si>
    <t>Oct 1</t>
  </si>
  <si>
    <t>Coffee-themed décor, 3 stations</t>
  </si>
  <si>
    <t>Professional barista, Arabic dallah ceremony, Coffee culture displays</t>
  </si>
  <si>
    <t>Oct</t>
  </si>
  <si>
    <t>Pink ribbon theme, awareness panels, info displays</t>
  </si>
  <si>
    <t>Healthcare expert, Screening info, Pink awareness items, Health materials</t>
  </si>
  <si>
    <t>Oct TBD</t>
  </si>
  <si>
    <t>SERA HQ / Conference Center</t>
  </si>
  <si>
    <t>6 interactive exhibition booths, demo stations</t>
  </si>
  <si>
    <t>Full conference AV, booth monitors, demo equipment</t>
  </si>
  <si>
    <t>6 interactive demos, 2 expert speakers, Phishing simulations, Branded giveaways</t>
  </si>
  <si>
    <t>Oct 10</t>
  </si>
  <si>
    <t>Wellness décor, relaxation zone</t>
  </si>
  <si>
    <t>Psychologist speaker, Stress workshop, Relaxation zone (massage chairs), Wellness kits</t>
  </si>
  <si>
    <t>Oct 31</t>
  </si>
  <si>
    <t>Financial literacy displays, pledge wall</t>
  </si>
  <si>
    <t>Financial expert, Savings guides, Budget planners, Pledge wall activity</t>
  </si>
  <si>
    <t>Nov 10</t>
  </si>
  <si>
    <t>Business Hotel Conference Room</t>
  </si>
  <si>
    <t>Award stage, quality showcase display</t>
  </si>
  <si>
    <t>Conference AV: screen, sound, podium</t>
  </si>
  <si>
    <t>7 quality awards, Best practices presentations, Expert speaker</t>
  </si>
  <si>
    <t>Nov</t>
  </si>
  <si>
    <t>SERA HQ – Medical area</t>
  </si>
  <si>
    <t>Health campaign setup, vaccination stations</t>
  </si>
  <si>
    <t>Digital awareness screens</t>
  </si>
  <si>
    <t>Medical staff, Vaccination logistics, Pre-campaign awareness, Participant gifts</t>
  </si>
  <si>
    <t>Nov 14</t>
  </si>
  <si>
    <t>Blue circle theme, diabetes awareness panels</t>
  </si>
  <si>
    <t>Endocrinologist speaker, Blood sugar screening, Health materials, Blue awareness items</t>
  </si>
  <si>
    <t>Nov 19</t>
  </si>
  <si>
    <t>Event space</t>
  </si>
  <si>
    <t>Celebration décor, activity area</t>
  </si>
  <si>
    <t>Team competitions, Recognition gifts</t>
  </si>
  <si>
    <t>Nov 20</t>
  </si>
  <si>
    <t>Family entertainment venue</t>
  </si>
  <si>
    <t>Colorful child-friendly décor, safe play areas</t>
  </si>
  <si>
    <t>Sound for entertainment</t>
  </si>
  <si>
    <t>Professional children's entertainers, Game stations, Gifts for kids</t>
  </si>
  <si>
    <t>Dec 5</t>
  </si>
  <si>
    <t>Community location</t>
  </si>
  <si>
    <t>Branded volunteer banner/signage</t>
  </si>
  <si>
    <t>2 buses transport, Volunteer T-shirts, Activity supplies, Lunch boxes</t>
  </si>
  <si>
    <t>Dec 9</t>
  </si>
  <si>
    <t>Integrity pledge wall, information displays</t>
  </si>
  <si>
    <t>Presentation AV</t>
  </si>
  <si>
    <t>Ethics expert/Nazaha speaker, Pledge signing, Awareness brochures</t>
  </si>
  <si>
    <t>Digital transformation displays, innovation showcases</t>
  </si>
  <si>
    <t>Full AV, interactive screens</t>
  </si>
  <si>
    <t>Expert panels, Transformation workshops, Design thinking activities</t>
  </si>
  <si>
    <t>SERA HQ – All offices</t>
  </si>
  <si>
    <t>Competition banners, evaluation signage</t>
  </si>
  <si>
    <t>Basic AV for ceremony</t>
  </si>
  <si>
    <t>Evaluation program, Judging panel, Award ceremony, Trophies</t>
  </si>
  <si>
    <t>Dec 18</t>
  </si>
  <si>
    <t>Cultural venue</t>
  </si>
  <si>
    <t>Arabic calligraphy displays, poetry corner</t>
  </si>
  <si>
    <t>Presentation + ambient Arabic music</t>
  </si>
  <si>
    <t>Poet guest, Calligraphy workshop, Poetry recital, Cultural program</t>
  </si>
  <si>
    <t>Late Dec</t>
  </si>
  <si>
    <t>5-Star Hotel – Premium Gala</t>
  </si>
  <si>
    <t>Premium stage, LED lighting design, luxury tables</t>
  </si>
  <si>
    <t>Full gala: LED wall, concert sound, designer lighting</t>
  </si>
  <si>
    <t>Premium band + acts, 15 annual awards, Year-review video, Premium gifts, Prof. MC. BOOK 3 MONTHS AHEAD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</si>
</sst>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1B4332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rgb="FF1B4332"/>
      <name val="Arial"/>
    </font>
    <font>
      <sz val="11.0"/>
      <color theme="1"/>
      <name val="Calibri"/>
    </font>
    <font>
      <b/>
      <sz val="13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B4332"/>
        <bgColor rgb="FF1B4332"/>
      </patternFill>
    </fill>
    <fill>
      <patternFill patternType="solid">
        <fgColor rgb="FF2D6A4F"/>
        <bgColor rgb="FF2D6A4F"/>
      </patternFill>
    </fill>
    <fill>
      <patternFill patternType="solid">
        <fgColor rgb="FFFFD700"/>
        <bgColor rgb="FFFFD700"/>
      </patternFill>
    </fill>
    <fill>
      <patternFill patternType="solid">
        <fgColor rgb="FFF0F7F4"/>
        <bgColor rgb="FFF0F7F4"/>
      </patternFill>
    </fill>
    <fill>
      <patternFill patternType="solid">
        <fgColor rgb="FF87CEEB"/>
        <bgColor rgb="FF87CEEB"/>
      </patternFill>
    </fill>
    <fill>
      <patternFill patternType="solid">
        <fgColor rgb="FF40916C"/>
        <bgColor rgb="FF40916C"/>
      </patternFill>
    </fill>
    <fill>
      <patternFill patternType="solid">
        <fgColor rgb="FF081C15"/>
        <bgColor rgb="FF081C1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4" fillId="0" fontId="6" numFmtId="0" xfId="0" applyBorder="1" applyFont="1"/>
    <xf borderId="4" fillId="0" fontId="5" numFmtId="0" xfId="0" applyBorder="1" applyFont="1"/>
    <xf borderId="4" fillId="0" fontId="6" numFmtId="3" xfId="0" applyBorder="1" applyFont="1" applyNumberFormat="1"/>
    <xf borderId="4" fillId="0" fontId="8" numFmtId="9" xfId="0" applyBorder="1" applyFont="1" applyNumberFormat="1"/>
    <xf borderId="4" fillId="0" fontId="8" numFmtId="0" xfId="0" applyBorder="1" applyFont="1"/>
    <xf borderId="4" fillId="7" fontId="4" numFmtId="0" xfId="0" applyBorder="1" applyFill="1" applyFont="1"/>
    <xf borderId="4" fillId="7" fontId="4" numFmtId="3" xfId="0" applyBorder="1" applyFont="1" applyNumberFormat="1"/>
    <xf borderId="4" fillId="0" fontId="8" numFmtId="3" xfId="0" applyBorder="1" applyFont="1" applyNumberFormat="1"/>
    <xf borderId="4" fillId="8" fontId="9" numFmtId="0" xfId="0" applyBorder="1" applyFill="1" applyFont="1"/>
    <xf borderId="4" fillId="8" fontId="9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916C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3" width="22.0"/>
    <col customWidth="1" min="4" max="4" width="14.0"/>
    <col customWidth="1" min="5" max="5" width="8.0"/>
    <col customWidth="1" min="6" max="6" width="22.0"/>
    <col customWidth="1" min="7" max="7" width="16.0"/>
    <col customWidth="1" min="8" max="8" width="12.0"/>
    <col customWidth="1" min="9" max="26" width="8.71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 t="s">
        <v>1</v>
      </c>
    </row>
    <row r="3" ht="18.0" customHeight="1"/>
    <row r="4" ht="18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ht="18.0" customHeight="1">
      <c r="A5" s="6">
        <v>1.0</v>
      </c>
      <c r="B5" s="6" t="s">
        <v>10</v>
      </c>
      <c r="C5" s="7" t="s">
        <v>11</v>
      </c>
      <c r="D5" s="8" t="s">
        <v>12</v>
      </c>
      <c r="E5" s="8" t="s">
        <v>13</v>
      </c>
      <c r="F5" s="8" t="s">
        <v>14</v>
      </c>
      <c r="G5" s="8">
        <v>300.0</v>
      </c>
      <c r="H5" s="9" t="s">
        <v>15</v>
      </c>
    </row>
    <row r="6" ht="18.0" customHeight="1">
      <c r="A6" s="10">
        <v>2.0</v>
      </c>
      <c r="B6" s="10" t="s">
        <v>16</v>
      </c>
      <c r="C6" s="11" t="s">
        <v>17</v>
      </c>
      <c r="D6" s="12" t="s">
        <v>18</v>
      </c>
      <c r="E6" s="12" t="s">
        <v>13</v>
      </c>
      <c r="F6" s="12" t="s">
        <v>19</v>
      </c>
      <c r="G6" s="12">
        <v>300.0</v>
      </c>
      <c r="H6" s="12" t="s">
        <v>20</v>
      </c>
    </row>
    <row r="7" ht="18.0" customHeight="1">
      <c r="A7" s="6">
        <v>3.0</v>
      </c>
      <c r="B7" s="6" t="s">
        <v>21</v>
      </c>
      <c r="C7" s="7" t="s">
        <v>22</v>
      </c>
      <c r="D7" s="8" t="s">
        <v>23</v>
      </c>
      <c r="E7" s="8" t="s">
        <v>13</v>
      </c>
      <c r="F7" s="8" t="s">
        <v>24</v>
      </c>
      <c r="G7" s="8">
        <v>300.0</v>
      </c>
      <c r="H7" s="9" t="s">
        <v>15</v>
      </c>
    </row>
    <row r="8" ht="18.0" customHeight="1">
      <c r="A8" s="10">
        <v>4.0</v>
      </c>
      <c r="B8" s="10" t="s">
        <v>25</v>
      </c>
      <c r="C8" s="11" t="s">
        <v>26</v>
      </c>
      <c r="D8" s="12" t="s">
        <v>27</v>
      </c>
      <c r="E8" s="12" t="s">
        <v>13</v>
      </c>
      <c r="F8" s="12" t="s">
        <v>28</v>
      </c>
      <c r="G8" s="12">
        <v>150.0</v>
      </c>
      <c r="H8" s="13" t="s">
        <v>29</v>
      </c>
    </row>
    <row r="9" ht="18.0" customHeight="1">
      <c r="A9" s="6">
        <v>5.0</v>
      </c>
      <c r="B9" s="6" t="s">
        <v>30</v>
      </c>
      <c r="C9" s="7" t="s">
        <v>31</v>
      </c>
      <c r="D9" s="8" t="s">
        <v>32</v>
      </c>
      <c r="E9" s="8" t="s">
        <v>13</v>
      </c>
      <c r="F9" s="8" t="s">
        <v>33</v>
      </c>
      <c r="G9" s="8">
        <v>300.0</v>
      </c>
      <c r="H9" s="8" t="s">
        <v>20</v>
      </c>
    </row>
    <row r="10" ht="18.0" customHeight="1">
      <c r="A10" s="10">
        <v>6.0</v>
      </c>
      <c r="B10" s="10" t="s">
        <v>34</v>
      </c>
      <c r="C10" s="11" t="s">
        <v>35</v>
      </c>
      <c r="D10" s="12" t="s">
        <v>36</v>
      </c>
      <c r="E10" s="12" t="s">
        <v>13</v>
      </c>
      <c r="F10" s="12" t="s">
        <v>37</v>
      </c>
      <c r="G10" s="12">
        <v>300.0</v>
      </c>
      <c r="H10" s="9" t="s">
        <v>15</v>
      </c>
    </row>
    <row r="11" ht="18.0" customHeight="1">
      <c r="A11" s="6">
        <v>7.0</v>
      </c>
      <c r="B11" s="6" t="s">
        <v>38</v>
      </c>
      <c r="C11" s="7" t="s">
        <v>39</v>
      </c>
      <c r="D11" s="8" t="s">
        <v>40</v>
      </c>
      <c r="E11" s="8" t="s">
        <v>13</v>
      </c>
      <c r="F11" s="8" t="s">
        <v>41</v>
      </c>
      <c r="G11" s="8">
        <v>130.0</v>
      </c>
      <c r="H11" s="13" t="s">
        <v>29</v>
      </c>
    </row>
    <row r="12" ht="18.0" customHeight="1">
      <c r="A12" s="10">
        <v>8.0</v>
      </c>
      <c r="B12" s="10" t="s">
        <v>42</v>
      </c>
      <c r="C12" s="11" t="s">
        <v>43</v>
      </c>
      <c r="D12" s="12" t="s">
        <v>44</v>
      </c>
      <c r="E12" s="12" t="s">
        <v>13</v>
      </c>
      <c r="F12" s="12" t="s">
        <v>45</v>
      </c>
      <c r="G12" s="12">
        <v>250.0</v>
      </c>
      <c r="H12" s="12" t="s">
        <v>20</v>
      </c>
    </row>
    <row r="13" ht="18.0" customHeight="1">
      <c r="A13" s="6">
        <v>9.0</v>
      </c>
      <c r="B13" s="6" t="s">
        <v>46</v>
      </c>
      <c r="C13" s="7" t="s">
        <v>47</v>
      </c>
      <c r="D13" s="8" t="s">
        <v>48</v>
      </c>
      <c r="E13" s="8" t="s">
        <v>13</v>
      </c>
      <c r="F13" s="8" t="s">
        <v>49</v>
      </c>
      <c r="G13" s="8">
        <v>200.0</v>
      </c>
      <c r="H13" s="8" t="s">
        <v>20</v>
      </c>
    </row>
    <row r="14" ht="18.0" customHeight="1">
      <c r="A14" s="10">
        <v>10.0</v>
      </c>
      <c r="B14" s="10" t="s">
        <v>50</v>
      </c>
      <c r="C14" s="11" t="s">
        <v>51</v>
      </c>
      <c r="D14" s="12" t="s">
        <v>52</v>
      </c>
      <c r="E14" s="12" t="s">
        <v>53</v>
      </c>
      <c r="F14" s="12" t="s">
        <v>54</v>
      </c>
      <c r="G14" s="12">
        <v>300.0</v>
      </c>
      <c r="H14" s="9" t="s">
        <v>15</v>
      </c>
    </row>
    <row r="15" ht="18.0" customHeight="1">
      <c r="A15" s="6">
        <v>11.0</v>
      </c>
      <c r="B15" s="6" t="s">
        <v>55</v>
      </c>
      <c r="C15" s="7" t="s">
        <v>56</v>
      </c>
      <c r="D15" s="8" t="s">
        <v>57</v>
      </c>
      <c r="E15" s="8" t="s">
        <v>53</v>
      </c>
      <c r="F15" s="8" t="s">
        <v>58</v>
      </c>
      <c r="G15" s="8">
        <v>200.0</v>
      </c>
      <c r="H15" s="13" t="s">
        <v>29</v>
      </c>
    </row>
    <row r="16" ht="18.0" customHeight="1">
      <c r="A16" s="10">
        <v>12.0</v>
      </c>
      <c r="B16" s="10" t="s">
        <v>59</v>
      </c>
      <c r="C16" s="11" t="s">
        <v>60</v>
      </c>
      <c r="D16" s="12" t="s">
        <v>61</v>
      </c>
      <c r="E16" s="12" t="s">
        <v>53</v>
      </c>
      <c r="F16" s="12" t="s">
        <v>62</v>
      </c>
      <c r="G16" s="12">
        <v>250.0</v>
      </c>
      <c r="H16" s="12" t="s">
        <v>20</v>
      </c>
    </row>
    <row r="17" ht="18.0" customHeight="1">
      <c r="A17" s="6">
        <v>13.0</v>
      </c>
      <c r="B17" s="6" t="s">
        <v>63</v>
      </c>
      <c r="C17" s="7" t="s">
        <v>64</v>
      </c>
      <c r="D17" s="8" t="s">
        <v>65</v>
      </c>
      <c r="E17" s="8" t="s">
        <v>53</v>
      </c>
      <c r="F17" s="8" t="s">
        <v>49</v>
      </c>
      <c r="G17" s="8">
        <v>200.0</v>
      </c>
      <c r="H17" s="8" t="s">
        <v>20</v>
      </c>
    </row>
    <row r="18" ht="18.0" customHeight="1">
      <c r="A18" s="10">
        <v>14.0</v>
      </c>
      <c r="B18" s="10" t="s">
        <v>66</v>
      </c>
      <c r="C18" s="11" t="s">
        <v>67</v>
      </c>
      <c r="D18" s="12" t="s">
        <v>68</v>
      </c>
      <c r="E18" s="12" t="s">
        <v>53</v>
      </c>
      <c r="F18" s="12" t="s">
        <v>69</v>
      </c>
      <c r="G18" s="12">
        <v>200.0</v>
      </c>
      <c r="H18" s="12" t="s">
        <v>20</v>
      </c>
    </row>
    <row r="19" ht="18.0" customHeight="1">
      <c r="A19" s="6">
        <v>15.0</v>
      </c>
      <c r="B19" s="6" t="s">
        <v>70</v>
      </c>
      <c r="C19" s="7" t="s">
        <v>71</v>
      </c>
      <c r="D19" s="8" t="s">
        <v>72</v>
      </c>
      <c r="E19" s="8" t="s">
        <v>53</v>
      </c>
      <c r="F19" s="8" t="s">
        <v>73</v>
      </c>
      <c r="G19" s="8">
        <v>120.0</v>
      </c>
      <c r="H19" s="8" t="s">
        <v>20</v>
      </c>
    </row>
    <row r="20" ht="18.0" customHeight="1">
      <c r="A20" s="10">
        <v>16.0</v>
      </c>
      <c r="B20" s="10" t="s">
        <v>74</v>
      </c>
      <c r="C20" s="11" t="s">
        <v>75</v>
      </c>
      <c r="D20" s="12" t="s">
        <v>76</v>
      </c>
      <c r="E20" s="12" t="s">
        <v>53</v>
      </c>
      <c r="F20" s="12" t="s">
        <v>41</v>
      </c>
      <c r="G20" s="12">
        <v>160.0</v>
      </c>
      <c r="H20" s="13" t="s">
        <v>29</v>
      </c>
    </row>
    <row r="21" ht="18.0" customHeight="1">
      <c r="A21" s="6">
        <v>17.0</v>
      </c>
      <c r="B21" s="6" t="s">
        <v>77</v>
      </c>
      <c r="C21" s="7" t="s">
        <v>78</v>
      </c>
      <c r="D21" s="8" t="s">
        <v>79</v>
      </c>
      <c r="E21" s="8" t="s">
        <v>53</v>
      </c>
      <c r="F21" s="8" t="s">
        <v>54</v>
      </c>
      <c r="G21" s="8">
        <v>300.0</v>
      </c>
      <c r="H21" s="9" t="s">
        <v>15</v>
      </c>
    </row>
    <row r="22" ht="18.0" customHeight="1">
      <c r="A22" s="10">
        <v>18.0</v>
      </c>
      <c r="B22" s="14" t="s">
        <v>80</v>
      </c>
      <c r="C22" s="11" t="s">
        <v>81</v>
      </c>
      <c r="D22" s="12" t="s">
        <v>82</v>
      </c>
      <c r="E22" s="12" t="s">
        <v>83</v>
      </c>
      <c r="F22" s="12" t="s">
        <v>84</v>
      </c>
      <c r="G22" s="12">
        <v>500.0</v>
      </c>
      <c r="H22" s="9" t="s">
        <v>15</v>
      </c>
    </row>
    <row r="23" ht="18.0" customHeight="1">
      <c r="A23" s="6">
        <v>19.0</v>
      </c>
      <c r="B23" s="15" t="s">
        <v>85</v>
      </c>
      <c r="C23" s="7" t="s">
        <v>86</v>
      </c>
      <c r="D23" s="8" t="s">
        <v>87</v>
      </c>
      <c r="E23" s="8" t="s">
        <v>83</v>
      </c>
      <c r="F23" s="8" t="s">
        <v>88</v>
      </c>
      <c r="G23" s="8">
        <v>300.0</v>
      </c>
      <c r="H23" s="13" t="s">
        <v>29</v>
      </c>
    </row>
    <row r="24" ht="18.0" customHeight="1">
      <c r="A24" s="10">
        <v>20.0</v>
      </c>
      <c r="B24" s="10" t="s">
        <v>89</v>
      </c>
      <c r="C24" s="11" t="s">
        <v>90</v>
      </c>
      <c r="D24" s="12" t="s">
        <v>91</v>
      </c>
      <c r="E24" s="12" t="s">
        <v>83</v>
      </c>
      <c r="F24" s="12" t="s">
        <v>69</v>
      </c>
      <c r="G24" s="12">
        <v>200.0</v>
      </c>
      <c r="H24" s="12" t="s">
        <v>20</v>
      </c>
    </row>
    <row r="25" ht="18.0" customHeight="1">
      <c r="A25" s="6">
        <v>21.0</v>
      </c>
      <c r="B25" s="6" t="s">
        <v>92</v>
      </c>
      <c r="C25" s="7" t="s">
        <v>93</v>
      </c>
      <c r="D25" s="8" t="s">
        <v>94</v>
      </c>
      <c r="E25" s="8" t="s">
        <v>83</v>
      </c>
      <c r="F25" s="8" t="s">
        <v>58</v>
      </c>
      <c r="G25" s="8">
        <v>200.0</v>
      </c>
      <c r="H25" s="13" t="s">
        <v>29</v>
      </c>
    </row>
    <row r="26" ht="18.0" customHeight="1">
      <c r="A26" s="10">
        <v>22.0</v>
      </c>
      <c r="B26" s="10" t="s">
        <v>95</v>
      </c>
      <c r="C26" s="11" t="s">
        <v>96</v>
      </c>
      <c r="D26" s="12" t="s">
        <v>97</v>
      </c>
      <c r="E26" s="12" t="s">
        <v>83</v>
      </c>
      <c r="F26" s="12" t="s">
        <v>69</v>
      </c>
      <c r="G26" s="12">
        <v>200.0</v>
      </c>
      <c r="H26" s="12" t="s">
        <v>20</v>
      </c>
    </row>
    <row r="27" ht="18.0" customHeight="1">
      <c r="A27" s="6">
        <v>23.0</v>
      </c>
      <c r="B27" s="6" t="s">
        <v>98</v>
      </c>
      <c r="C27" s="7" t="s">
        <v>99</v>
      </c>
      <c r="D27" s="8" t="s">
        <v>94</v>
      </c>
      <c r="E27" s="8" t="s">
        <v>83</v>
      </c>
      <c r="F27" s="8" t="s">
        <v>100</v>
      </c>
      <c r="G27" s="8">
        <v>200.0</v>
      </c>
      <c r="H27" s="8" t="s">
        <v>20</v>
      </c>
    </row>
    <row r="28" ht="18.0" customHeight="1">
      <c r="A28" s="10">
        <v>24.0</v>
      </c>
      <c r="B28" s="10" t="s">
        <v>101</v>
      </c>
      <c r="C28" s="11" t="s">
        <v>102</v>
      </c>
      <c r="D28" s="12" t="s">
        <v>103</v>
      </c>
      <c r="E28" s="12" t="s">
        <v>83</v>
      </c>
      <c r="F28" s="12" t="s">
        <v>19</v>
      </c>
      <c r="G28" s="12">
        <v>300.0</v>
      </c>
      <c r="H28" s="9" t="s">
        <v>15</v>
      </c>
    </row>
    <row r="29" ht="18.0" customHeight="1">
      <c r="A29" s="6">
        <v>25.0</v>
      </c>
      <c r="B29" s="6" t="s">
        <v>104</v>
      </c>
      <c r="C29" s="7" t="s">
        <v>105</v>
      </c>
      <c r="D29" s="8" t="s">
        <v>106</v>
      </c>
      <c r="E29" s="8" t="s">
        <v>83</v>
      </c>
      <c r="F29" s="8" t="s">
        <v>45</v>
      </c>
      <c r="G29" s="8">
        <v>250.0</v>
      </c>
      <c r="H29" s="13" t="s">
        <v>29</v>
      </c>
    </row>
    <row r="30" ht="18.0" customHeight="1">
      <c r="A30" s="10">
        <v>26.0</v>
      </c>
      <c r="B30" s="10" t="s">
        <v>107</v>
      </c>
      <c r="C30" s="11" t="s">
        <v>108</v>
      </c>
      <c r="D30" s="12" t="s">
        <v>109</v>
      </c>
      <c r="E30" s="12" t="s">
        <v>110</v>
      </c>
      <c r="F30" s="12" t="s">
        <v>62</v>
      </c>
      <c r="G30" s="12">
        <v>250.0</v>
      </c>
      <c r="H30" s="12" t="s">
        <v>20</v>
      </c>
    </row>
    <row r="31" ht="18.0" customHeight="1">
      <c r="A31" s="6">
        <v>27.0</v>
      </c>
      <c r="B31" s="6" t="s">
        <v>111</v>
      </c>
      <c r="C31" s="7" t="s">
        <v>112</v>
      </c>
      <c r="D31" s="8" t="s">
        <v>113</v>
      </c>
      <c r="E31" s="8" t="s">
        <v>110</v>
      </c>
      <c r="F31" s="8" t="s">
        <v>69</v>
      </c>
      <c r="G31" s="8">
        <v>200.0</v>
      </c>
      <c r="H31" s="8" t="s">
        <v>20</v>
      </c>
    </row>
    <row r="32" ht="18.0" customHeight="1">
      <c r="A32" s="10">
        <v>28.0</v>
      </c>
      <c r="B32" s="10" t="s">
        <v>114</v>
      </c>
      <c r="C32" s="11" t="s">
        <v>115</v>
      </c>
      <c r="D32" s="12" t="s">
        <v>116</v>
      </c>
      <c r="E32" s="12" t="s">
        <v>110</v>
      </c>
      <c r="F32" s="12" t="s">
        <v>117</v>
      </c>
      <c r="G32" s="12">
        <v>250.0</v>
      </c>
      <c r="H32" s="13" t="s">
        <v>29</v>
      </c>
    </row>
    <row r="33" ht="18.0" customHeight="1">
      <c r="A33" s="6">
        <v>29.0</v>
      </c>
      <c r="B33" s="6" t="s">
        <v>118</v>
      </c>
      <c r="C33" s="7" t="s">
        <v>119</v>
      </c>
      <c r="D33" s="8" t="s">
        <v>120</v>
      </c>
      <c r="E33" s="8" t="s">
        <v>110</v>
      </c>
      <c r="F33" s="8" t="s">
        <v>69</v>
      </c>
      <c r="G33" s="8">
        <v>200.0</v>
      </c>
      <c r="H33" s="8" t="s">
        <v>20</v>
      </c>
    </row>
    <row r="34" ht="18.0" customHeight="1">
      <c r="A34" s="10">
        <v>30.0</v>
      </c>
      <c r="B34" s="10" t="s">
        <v>121</v>
      </c>
      <c r="C34" s="11" t="s">
        <v>122</v>
      </c>
      <c r="D34" s="12" t="s">
        <v>123</v>
      </c>
      <c r="E34" s="12" t="s">
        <v>110</v>
      </c>
      <c r="F34" s="12" t="s">
        <v>124</v>
      </c>
      <c r="G34" s="12">
        <v>200.0</v>
      </c>
      <c r="H34" s="12" t="s">
        <v>20</v>
      </c>
    </row>
    <row r="35" ht="18.0" customHeight="1">
      <c r="A35" s="6">
        <v>31.0</v>
      </c>
      <c r="B35" s="6" t="s">
        <v>125</v>
      </c>
      <c r="C35" s="7" t="s">
        <v>126</v>
      </c>
      <c r="D35" s="8" t="s">
        <v>127</v>
      </c>
      <c r="E35" s="8" t="s">
        <v>110</v>
      </c>
      <c r="F35" s="8" t="s">
        <v>58</v>
      </c>
      <c r="G35" s="8">
        <v>180.0</v>
      </c>
      <c r="H35" s="13" t="s">
        <v>29</v>
      </c>
    </row>
    <row r="36" ht="18.0" customHeight="1">
      <c r="A36" s="10">
        <v>32.0</v>
      </c>
      <c r="B36" s="10" t="s">
        <v>128</v>
      </c>
      <c r="C36" s="11" t="s">
        <v>129</v>
      </c>
      <c r="D36" s="12" t="s">
        <v>130</v>
      </c>
      <c r="E36" s="12" t="s">
        <v>110</v>
      </c>
      <c r="F36" s="12" t="s">
        <v>131</v>
      </c>
      <c r="G36" s="12">
        <v>250.0</v>
      </c>
      <c r="H36" s="12" t="s">
        <v>20</v>
      </c>
    </row>
    <row r="37" ht="18.0" customHeight="1">
      <c r="A37" s="6">
        <v>33.0</v>
      </c>
      <c r="B37" s="6" t="s">
        <v>132</v>
      </c>
      <c r="C37" s="7" t="s">
        <v>133</v>
      </c>
      <c r="D37" s="8" t="s">
        <v>134</v>
      </c>
      <c r="E37" s="8" t="s">
        <v>110</v>
      </c>
      <c r="F37" s="8" t="s">
        <v>69</v>
      </c>
      <c r="G37" s="8">
        <v>200.0</v>
      </c>
      <c r="H37" s="8" t="s">
        <v>20</v>
      </c>
    </row>
    <row r="38" ht="18.0" customHeight="1">
      <c r="A38" s="10">
        <v>34.0</v>
      </c>
      <c r="B38" s="10" t="s">
        <v>135</v>
      </c>
      <c r="C38" s="11" t="s">
        <v>136</v>
      </c>
      <c r="D38" s="12" t="s">
        <v>137</v>
      </c>
      <c r="E38" s="12" t="s">
        <v>110</v>
      </c>
      <c r="F38" s="12" t="s">
        <v>41</v>
      </c>
      <c r="G38" s="12">
        <v>200.0</v>
      </c>
      <c r="H38" s="13" t="s">
        <v>29</v>
      </c>
    </row>
    <row r="39" ht="18.0" customHeight="1">
      <c r="A39" s="6">
        <v>35.0</v>
      </c>
      <c r="B39" s="6" t="s">
        <v>138</v>
      </c>
      <c r="C39" s="7" t="s">
        <v>139</v>
      </c>
      <c r="D39" s="8" t="s">
        <v>140</v>
      </c>
      <c r="E39" s="8" t="s">
        <v>110</v>
      </c>
      <c r="F39" s="8" t="s">
        <v>141</v>
      </c>
      <c r="G39" s="8">
        <v>200.0</v>
      </c>
      <c r="H39" s="13" t="s">
        <v>29</v>
      </c>
    </row>
    <row r="40" ht="18.0" customHeight="1">
      <c r="A40" s="10">
        <v>36.0</v>
      </c>
      <c r="B40" s="10" t="s">
        <v>142</v>
      </c>
      <c r="C40" s="11" t="s">
        <v>143</v>
      </c>
      <c r="D40" s="12" t="s">
        <v>144</v>
      </c>
      <c r="E40" s="12" t="s">
        <v>110</v>
      </c>
      <c r="F40" s="12" t="s">
        <v>145</v>
      </c>
      <c r="G40" s="12">
        <v>80.0</v>
      </c>
      <c r="H40" s="12" t="s">
        <v>20</v>
      </c>
    </row>
    <row r="41" ht="18.0" customHeight="1">
      <c r="A41" s="6">
        <v>37.0</v>
      </c>
      <c r="B41" s="6" t="s">
        <v>146</v>
      </c>
      <c r="C41" s="7" t="s">
        <v>147</v>
      </c>
      <c r="D41" s="8" t="s">
        <v>148</v>
      </c>
      <c r="E41" s="8" t="s">
        <v>110</v>
      </c>
      <c r="F41" s="8" t="s">
        <v>149</v>
      </c>
      <c r="G41" s="8">
        <v>200.0</v>
      </c>
      <c r="H41" s="8" t="s">
        <v>20</v>
      </c>
    </row>
    <row r="42" ht="18.0" customHeight="1">
      <c r="A42" s="10">
        <v>38.0</v>
      </c>
      <c r="B42" s="10" t="s">
        <v>150</v>
      </c>
      <c r="C42" s="11" t="s">
        <v>151</v>
      </c>
      <c r="D42" s="12" t="s">
        <v>152</v>
      </c>
      <c r="E42" s="12" t="s">
        <v>110</v>
      </c>
      <c r="F42" s="12" t="s">
        <v>153</v>
      </c>
      <c r="G42" s="12">
        <v>200.0</v>
      </c>
      <c r="H42" s="13" t="s">
        <v>29</v>
      </c>
    </row>
    <row r="43" ht="18.0" customHeight="1">
      <c r="A43" s="6">
        <v>39.0</v>
      </c>
      <c r="B43" s="6" t="s">
        <v>154</v>
      </c>
      <c r="C43" s="7" t="s">
        <v>155</v>
      </c>
      <c r="D43" s="8" t="s">
        <v>152</v>
      </c>
      <c r="E43" s="8" t="s">
        <v>110</v>
      </c>
      <c r="F43" s="8" t="s">
        <v>156</v>
      </c>
      <c r="G43" s="8">
        <v>200.0</v>
      </c>
      <c r="H43" s="8" t="s">
        <v>20</v>
      </c>
    </row>
    <row r="44" ht="18.0" customHeight="1">
      <c r="A44" s="10">
        <v>40.0</v>
      </c>
      <c r="B44" s="10" t="s">
        <v>157</v>
      </c>
      <c r="C44" s="11" t="s">
        <v>158</v>
      </c>
      <c r="D44" s="12" t="s">
        <v>159</v>
      </c>
      <c r="E44" s="12" t="s">
        <v>110</v>
      </c>
      <c r="F44" s="12" t="s">
        <v>160</v>
      </c>
      <c r="G44" s="12">
        <v>200.0</v>
      </c>
      <c r="H44" s="13" t="s">
        <v>29</v>
      </c>
    </row>
    <row r="45" ht="18.0" customHeight="1">
      <c r="A45" s="6">
        <v>41.0</v>
      </c>
      <c r="B45" s="6" t="s">
        <v>161</v>
      </c>
      <c r="C45" s="7" t="s">
        <v>162</v>
      </c>
      <c r="D45" s="8" t="s">
        <v>163</v>
      </c>
      <c r="E45" s="8" t="s">
        <v>110</v>
      </c>
      <c r="F45" s="8" t="s">
        <v>54</v>
      </c>
      <c r="G45" s="8">
        <v>300.0</v>
      </c>
      <c r="H45" s="9" t="s">
        <v>15</v>
      </c>
    </row>
    <row r="46" ht="18.0" customHeight="1">
      <c r="A46" s="10" t="s">
        <v>164</v>
      </c>
      <c r="B46" s="10" t="s">
        <v>165</v>
      </c>
      <c r="C46" s="11" t="s">
        <v>166</v>
      </c>
      <c r="D46" s="12" t="s">
        <v>167</v>
      </c>
      <c r="E46" s="12" t="s">
        <v>168</v>
      </c>
      <c r="F46" s="12" t="s">
        <v>169</v>
      </c>
      <c r="G46" s="12">
        <v>150.0</v>
      </c>
      <c r="H46" s="9" t="s">
        <v>15</v>
      </c>
    </row>
    <row r="47" ht="18.0" customHeight="1">
      <c r="A47" s="6" t="s">
        <v>170</v>
      </c>
      <c r="B47" s="6" t="s">
        <v>171</v>
      </c>
      <c r="C47" s="7" t="s">
        <v>172</v>
      </c>
      <c r="D47" s="8" t="s">
        <v>173</v>
      </c>
      <c r="E47" s="8" t="s">
        <v>168</v>
      </c>
      <c r="F47" s="8" t="s">
        <v>169</v>
      </c>
      <c r="G47" s="8">
        <v>20.0</v>
      </c>
      <c r="H47" s="13" t="s">
        <v>29</v>
      </c>
    </row>
    <row r="48" ht="18.0" customHeight="1">
      <c r="A48" s="10" t="s">
        <v>174</v>
      </c>
      <c r="B48" s="10" t="s">
        <v>175</v>
      </c>
      <c r="C48" s="11" t="s">
        <v>176</v>
      </c>
      <c r="D48" s="12" t="s">
        <v>177</v>
      </c>
      <c r="E48" s="12" t="s">
        <v>168</v>
      </c>
      <c r="F48" s="12" t="s">
        <v>178</v>
      </c>
      <c r="G48" s="12">
        <v>200.0</v>
      </c>
      <c r="H48" s="13" t="s">
        <v>29</v>
      </c>
    </row>
    <row r="49" ht="18.0" customHeight="1"/>
    <row r="50" ht="18.0" customHeight="1"/>
    <row r="51" ht="18.0" customHeight="1">
      <c r="A51" s="16" t="s">
        <v>179</v>
      </c>
    </row>
    <row r="52" ht="18.0" customHeight="1">
      <c r="A52" s="5" t="s">
        <v>7</v>
      </c>
      <c r="B52" s="5" t="s">
        <v>180</v>
      </c>
      <c r="C52" s="5" t="s">
        <v>181</v>
      </c>
      <c r="D52" s="5" t="s">
        <v>182</v>
      </c>
    </row>
    <row r="53" ht="18.0" customHeight="1">
      <c r="A53" s="17" t="s">
        <v>183</v>
      </c>
      <c r="B53" s="18">
        <v>9.0</v>
      </c>
      <c r="C53" s="19" t="str">
        <f t="shared" ref="C53:C56" si="1">'Financial Proposal'!E595</f>
        <v>#REF!</v>
      </c>
      <c r="D53" s="20" t="str">
        <f>C53/C58</f>
        <v>#REF!</v>
      </c>
    </row>
    <row r="54" ht="18.0" customHeight="1">
      <c r="A54" s="17" t="s">
        <v>184</v>
      </c>
      <c r="B54" s="18">
        <v>8.0</v>
      </c>
      <c r="C54" s="19" t="str">
        <f t="shared" si="1"/>
        <v>#REF!</v>
      </c>
      <c r="D54" s="20" t="str">
        <f>C54/C58</f>
        <v>#REF!</v>
      </c>
    </row>
    <row r="55" ht="18.0" customHeight="1">
      <c r="A55" s="17" t="s">
        <v>185</v>
      </c>
      <c r="B55" s="18">
        <v>8.0</v>
      </c>
      <c r="C55" s="19" t="str">
        <f t="shared" si="1"/>
        <v>#REF!</v>
      </c>
      <c r="D55" s="20" t="str">
        <f>C55/C58</f>
        <v>#REF!</v>
      </c>
    </row>
    <row r="56" ht="18.0" customHeight="1">
      <c r="A56" s="17" t="s">
        <v>186</v>
      </c>
      <c r="B56" s="18">
        <v>16.0</v>
      </c>
      <c r="C56" s="19" t="str">
        <f t="shared" si="1"/>
        <v>#REF!</v>
      </c>
      <c r="D56" s="20" t="str">
        <f>C56/C58</f>
        <v>#REF!</v>
      </c>
    </row>
    <row r="57" ht="18.0" customHeight="1">
      <c r="A57" s="17" t="s">
        <v>187</v>
      </c>
      <c r="B57" s="18">
        <v>3.0</v>
      </c>
      <c r="C57" s="19" t="str">
        <f>'Sports Budget'!E2</f>
        <v>#REF!</v>
      </c>
      <c r="D57" s="21"/>
    </row>
    <row r="58" ht="18.0" customHeight="1">
      <c r="A58" s="22" t="s">
        <v>188</v>
      </c>
      <c r="B58" s="22"/>
      <c r="C58" s="23" t="str">
        <f>'Financial Proposal'!E605</f>
        <v>#REF!</v>
      </c>
      <c r="D58" s="22"/>
    </row>
    <row r="59" ht="18.0" customHeight="1">
      <c r="A59" s="17" t="s">
        <v>189</v>
      </c>
      <c r="B59" s="21"/>
      <c r="C59" s="24" t="str">
        <f>C58*0.15</f>
        <v>#REF!</v>
      </c>
      <c r="D59" s="21"/>
    </row>
    <row r="60" ht="18.0" customHeight="1">
      <c r="A60" s="25" t="s">
        <v>190</v>
      </c>
      <c r="B60" s="25"/>
      <c r="C60" s="26" t="str">
        <f>C58+C59</f>
        <v>#REF!</v>
      </c>
      <c r="D60" s="25"/>
    </row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3">
    <mergeCell ref="A1:H1"/>
    <mergeCell ref="A2:H2"/>
    <mergeCell ref="A51:H5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B788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14.0"/>
    <col customWidth="1" min="4" max="4" width="30.0"/>
    <col customWidth="1" min="5" max="6" width="35.0"/>
    <col customWidth="1" min="7" max="7" width="50.0"/>
    <col customWidth="1" min="8" max="26" width="8.71"/>
  </cols>
  <sheetData>
    <row r="1" ht="18.0" customHeight="1">
      <c r="A1" s="1" t="s">
        <v>191</v>
      </c>
      <c r="B1" s="2"/>
      <c r="C1" s="2"/>
      <c r="D1" s="2"/>
      <c r="E1" s="2"/>
      <c r="F1" s="2"/>
      <c r="G1" s="3"/>
    </row>
    <row r="2" ht="18.0" customHeight="1"/>
    <row r="3" ht="18.0" customHeight="1">
      <c r="A3" s="5" t="s">
        <v>2</v>
      </c>
      <c r="B3" s="5" t="s">
        <v>3</v>
      </c>
      <c r="C3" s="5" t="s">
        <v>5</v>
      </c>
      <c r="D3" s="5" t="s">
        <v>192</v>
      </c>
      <c r="E3" s="5" t="s">
        <v>193</v>
      </c>
      <c r="F3" s="5" t="s">
        <v>194</v>
      </c>
      <c r="G3" s="5" t="s">
        <v>195</v>
      </c>
    </row>
    <row r="4" ht="18.0" customHeight="1">
      <c r="A4" s="6">
        <v>1.0</v>
      </c>
      <c r="B4" s="6" t="s">
        <v>10</v>
      </c>
      <c r="C4" s="8" t="s">
        <v>196</v>
      </c>
      <c r="D4" s="8" t="s">
        <v>197</v>
      </c>
      <c r="E4" s="8" t="s">
        <v>198</v>
      </c>
      <c r="F4" s="8" t="s">
        <v>199</v>
      </c>
      <c r="G4" s="8" t="s">
        <v>200</v>
      </c>
    </row>
    <row r="5" ht="18.0" customHeight="1">
      <c r="A5" s="10">
        <v>2.0</v>
      </c>
      <c r="B5" s="10" t="s">
        <v>16</v>
      </c>
      <c r="C5" s="12" t="s">
        <v>201</v>
      </c>
      <c r="D5" s="12" t="s">
        <v>202</v>
      </c>
      <c r="E5" s="12" t="s">
        <v>203</v>
      </c>
      <c r="F5" s="12" t="s">
        <v>204</v>
      </c>
      <c r="G5" s="12" t="s">
        <v>205</v>
      </c>
    </row>
    <row r="6" ht="18.0" customHeight="1">
      <c r="A6" s="6">
        <v>3.0</v>
      </c>
      <c r="B6" s="6" t="s">
        <v>21</v>
      </c>
      <c r="C6" s="8" t="s">
        <v>206</v>
      </c>
      <c r="D6" s="8" t="s">
        <v>207</v>
      </c>
      <c r="E6" s="8" t="s">
        <v>208</v>
      </c>
      <c r="F6" s="8" t="s">
        <v>209</v>
      </c>
      <c r="G6" s="8" t="s">
        <v>210</v>
      </c>
    </row>
    <row r="7" ht="18.0" customHeight="1">
      <c r="A7" s="10">
        <v>4.0</v>
      </c>
      <c r="B7" s="10" t="s">
        <v>25</v>
      </c>
      <c r="C7" s="12" t="s">
        <v>211</v>
      </c>
      <c r="D7" s="12" t="s">
        <v>212</v>
      </c>
      <c r="E7" s="12" t="s">
        <v>213</v>
      </c>
      <c r="F7" s="12" t="s">
        <v>214</v>
      </c>
      <c r="G7" s="12" t="s">
        <v>215</v>
      </c>
    </row>
    <row r="8" ht="18.0" customHeight="1">
      <c r="A8" s="6">
        <v>5.0</v>
      </c>
      <c r="B8" s="6" t="s">
        <v>30</v>
      </c>
      <c r="C8" s="8" t="s">
        <v>216</v>
      </c>
      <c r="D8" s="8" t="s">
        <v>217</v>
      </c>
      <c r="E8" s="8" t="s">
        <v>218</v>
      </c>
      <c r="F8" s="8" t="s">
        <v>219</v>
      </c>
      <c r="G8" s="8" t="s">
        <v>220</v>
      </c>
    </row>
    <row r="9" ht="18.0" customHeight="1">
      <c r="A9" s="10">
        <v>6.0</v>
      </c>
      <c r="B9" s="10" t="s">
        <v>34</v>
      </c>
      <c r="C9" s="12" t="s">
        <v>221</v>
      </c>
      <c r="D9" s="12" t="s">
        <v>222</v>
      </c>
      <c r="E9" s="12" t="s">
        <v>223</v>
      </c>
      <c r="F9" s="12" t="s">
        <v>224</v>
      </c>
      <c r="G9" s="12" t="s">
        <v>225</v>
      </c>
    </row>
    <row r="10" ht="18.0" customHeight="1">
      <c r="A10" s="6">
        <v>7.0</v>
      </c>
      <c r="B10" s="6" t="s">
        <v>38</v>
      </c>
      <c r="C10" s="8" t="s">
        <v>226</v>
      </c>
      <c r="D10" s="8" t="s">
        <v>227</v>
      </c>
      <c r="E10" s="8" t="s">
        <v>228</v>
      </c>
      <c r="F10" s="8" t="s">
        <v>229</v>
      </c>
      <c r="G10" s="8" t="s">
        <v>230</v>
      </c>
    </row>
    <row r="11" ht="18.0" customHeight="1">
      <c r="A11" s="10">
        <v>8.0</v>
      </c>
      <c r="B11" s="10" t="s">
        <v>42</v>
      </c>
      <c r="C11" s="12" t="s">
        <v>231</v>
      </c>
      <c r="D11" s="12" t="s">
        <v>232</v>
      </c>
      <c r="E11" s="12" t="s">
        <v>233</v>
      </c>
      <c r="F11" s="12" t="s">
        <v>234</v>
      </c>
      <c r="G11" s="12" t="s">
        <v>235</v>
      </c>
    </row>
    <row r="12" ht="18.0" customHeight="1">
      <c r="A12" s="6">
        <v>9.0</v>
      </c>
      <c r="B12" s="6" t="s">
        <v>46</v>
      </c>
      <c r="C12" s="8" t="s">
        <v>48</v>
      </c>
      <c r="D12" s="8" t="s">
        <v>236</v>
      </c>
      <c r="E12" s="8" t="s">
        <v>237</v>
      </c>
      <c r="F12" s="8" t="s">
        <v>238</v>
      </c>
      <c r="G12" s="8" t="s">
        <v>239</v>
      </c>
    </row>
    <row r="13" ht="18.0" customHeight="1">
      <c r="A13" s="10">
        <v>10.0</v>
      </c>
      <c r="B13" s="10" t="s">
        <v>50</v>
      </c>
      <c r="C13" s="12" t="s">
        <v>240</v>
      </c>
      <c r="D13" s="12" t="s">
        <v>241</v>
      </c>
      <c r="E13" s="12" t="s">
        <v>242</v>
      </c>
      <c r="F13" s="12" t="s">
        <v>243</v>
      </c>
      <c r="G13" s="12" t="s">
        <v>244</v>
      </c>
    </row>
    <row r="14" ht="18.0" customHeight="1">
      <c r="A14" s="6">
        <v>11.0</v>
      </c>
      <c r="B14" s="6" t="s">
        <v>55</v>
      </c>
      <c r="C14" s="8" t="s">
        <v>245</v>
      </c>
      <c r="D14" s="8" t="s">
        <v>246</v>
      </c>
      <c r="E14" s="8" t="s">
        <v>247</v>
      </c>
      <c r="F14" s="8" t="s">
        <v>248</v>
      </c>
      <c r="G14" s="8" t="s">
        <v>249</v>
      </c>
    </row>
    <row r="15" ht="18.0" customHeight="1">
      <c r="A15" s="10">
        <v>12.0</v>
      </c>
      <c r="B15" s="10" t="s">
        <v>59</v>
      </c>
      <c r="C15" s="12" t="s">
        <v>61</v>
      </c>
      <c r="D15" s="12" t="s">
        <v>250</v>
      </c>
      <c r="E15" s="12" t="s">
        <v>251</v>
      </c>
      <c r="F15" s="12" t="s">
        <v>252</v>
      </c>
      <c r="G15" s="12" t="s">
        <v>253</v>
      </c>
    </row>
    <row r="16" ht="18.0" customHeight="1">
      <c r="A16" s="6">
        <v>13.0</v>
      </c>
      <c r="B16" s="6" t="s">
        <v>63</v>
      </c>
      <c r="C16" s="8" t="s">
        <v>65</v>
      </c>
      <c r="D16" s="8" t="s">
        <v>254</v>
      </c>
      <c r="E16" s="8" t="s">
        <v>255</v>
      </c>
      <c r="F16" s="8" t="s">
        <v>256</v>
      </c>
      <c r="G16" s="8" t="s">
        <v>257</v>
      </c>
    </row>
    <row r="17" ht="18.0" customHeight="1">
      <c r="A17" s="10">
        <v>14.0</v>
      </c>
      <c r="B17" s="10" t="s">
        <v>66</v>
      </c>
      <c r="C17" s="12" t="s">
        <v>68</v>
      </c>
      <c r="D17" s="12" t="s">
        <v>258</v>
      </c>
      <c r="E17" s="12" t="s">
        <v>259</v>
      </c>
      <c r="F17" s="12" t="s">
        <v>260</v>
      </c>
      <c r="G17" s="12" t="s">
        <v>261</v>
      </c>
    </row>
    <row r="18" ht="18.0" customHeight="1">
      <c r="A18" s="6">
        <v>15.0</v>
      </c>
      <c r="B18" s="6" t="s">
        <v>70</v>
      </c>
      <c r="C18" s="8" t="s">
        <v>262</v>
      </c>
      <c r="D18" s="8" t="s">
        <v>263</v>
      </c>
      <c r="E18" s="8" t="s">
        <v>264</v>
      </c>
      <c r="F18" s="8" t="s">
        <v>265</v>
      </c>
      <c r="G18" s="8" t="s">
        <v>266</v>
      </c>
    </row>
    <row r="19" ht="18.0" customHeight="1">
      <c r="A19" s="10">
        <v>16.0</v>
      </c>
      <c r="B19" s="10" t="s">
        <v>74</v>
      </c>
      <c r="C19" s="12" t="s">
        <v>267</v>
      </c>
      <c r="D19" s="12" t="s">
        <v>268</v>
      </c>
      <c r="E19" s="12" t="s">
        <v>269</v>
      </c>
      <c r="F19" s="12" t="s">
        <v>270</v>
      </c>
      <c r="G19" s="12" t="s">
        <v>271</v>
      </c>
    </row>
    <row r="20" ht="18.0" customHeight="1">
      <c r="A20" s="6">
        <v>17.0</v>
      </c>
      <c r="B20" s="6" t="s">
        <v>77</v>
      </c>
      <c r="C20" s="8" t="s">
        <v>272</v>
      </c>
      <c r="D20" s="8" t="s">
        <v>241</v>
      </c>
      <c r="E20" s="8" t="s">
        <v>273</v>
      </c>
      <c r="F20" s="8" t="s">
        <v>274</v>
      </c>
      <c r="G20" s="8" t="s">
        <v>275</v>
      </c>
    </row>
    <row r="21" ht="18.0" customHeight="1">
      <c r="A21" s="10">
        <v>18.0</v>
      </c>
      <c r="B21" s="14" t="s">
        <v>80</v>
      </c>
      <c r="C21" s="12" t="s">
        <v>276</v>
      </c>
      <c r="D21" s="12" t="s">
        <v>277</v>
      </c>
      <c r="E21" s="12" t="s">
        <v>278</v>
      </c>
      <c r="F21" s="12" t="s">
        <v>279</v>
      </c>
      <c r="G21" s="12" t="s">
        <v>280</v>
      </c>
    </row>
    <row r="22" ht="18.0" customHeight="1">
      <c r="A22" s="6">
        <v>19.0</v>
      </c>
      <c r="B22" s="15" t="s">
        <v>85</v>
      </c>
      <c r="C22" s="8" t="s">
        <v>281</v>
      </c>
      <c r="D22" s="8" t="s">
        <v>282</v>
      </c>
      <c r="E22" s="8" t="s">
        <v>283</v>
      </c>
      <c r="F22" s="8" t="s">
        <v>284</v>
      </c>
      <c r="G22" s="8" t="s">
        <v>285</v>
      </c>
    </row>
    <row r="23" ht="18.0" customHeight="1">
      <c r="A23" s="10">
        <v>20.0</v>
      </c>
      <c r="B23" s="10" t="s">
        <v>89</v>
      </c>
      <c r="C23" s="12" t="s">
        <v>286</v>
      </c>
      <c r="D23" s="12" t="s">
        <v>287</v>
      </c>
      <c r="E23" s="12" t="s">
        <v>288</v>
      </c>
      <c r="F23" s="12" t="s">
        <v>260</v>
      </c>
      <c r="G23" s="12" t="s">
        <v>289</v>
      </c>
    </row>
    <row r="24" ht="18.0" customHeight="1">
      <c r="A24" s="6">
        <v>21.0</v>
      </c>
      <c r="B24" s="6" t="s">
        <v>92</v>
      </c>
      <c r="C24" s="8" t="s">
        <v>290</v>
      </c>
      <c r="D24" s="8" t="s">
        <v>291</v>
      </c>
      <c r="E24" s="8" t="s">
        <v>292</v>
      </c>
      <c r="F24" s="8" t="s">
        <v>293</v>
      </c>
      <c r="G24" s="8" t="s">
        <v>294</v>
      </c>
    </row>
    <row r="25" ht="18.0" customHeight="1">
      <c r="A25" s="10">
        <v>22.0</v>
      </c>
      <c r="B25" s="10" t="s">
        <v>95</v>
      </c>
      <c r="C25" s="12" t="s">
        <v>295</v>
      </c>
      <c r="D25" s="12" t="s">
        <v>296</v>
      </c>
      <c r="E25" s="12" t="s">
        <v>297</v>
      </c>
      <c r="F25" s="12" t="s">
        <v>260</v>
      </c>
      <c r="G25" s="12" t="s">
        <v>298</v>
      </c>
    </row>
    <row r="26" ht="18.0" customHeight="1">
      <c r="A26" s="6">
        <v>23.0</v>
      </c>
      <c r="B26" s="6" t="s">
        <v>98</v>
      </c>
      <c r="C26" s="8" t="s">
        <v>290</v>
      </c>
      <c r="D26" s="8" t="s">
        <v>299</v>
      </c>
      <c r="E26" s="8" t="s">
        <v>300</v>
      </c>
      <c r="F26" s="8" t="s">
        <v>301</v>
      </c>
      <c r="G26" s="8" t="s">
        <v>302</v>
      </c>
    </row>
    <row r="27" ht="18.0" customHeight="1">
      <c r="A27" s="10">
        <v>24.0</v>
      </c>
      <c r="B27" s="10" t="s">
        <v>101</v>
      </c>
      <c r="C27" s="12" t="s">
        <v>303</v>
      </c>
      <c r="D27" s="12" t="s">
        <v>304</v>
      </c>
      <c r="E27" s="12" t="s">
        <v>305</v>
      </c>
      <c r="F27" s="12" t="s">
        <v>306</v>
      </c>
      <c r="G27" s="12" t="s">
        <v>307</v>
      </c>
    </row>
    <row r="28" ht="18.0" customHeight="1">
      <c r="A28" s="6">
        <v>25.0</v>
      </c>
      <c r="B28" s="6" t="s">
        <v>104</v>
      </c>
      <c r="C28" s="8" t="s">
        <v>106</v>
      </c>
      <c r="D28" s="8" t="s">
        <v>308</v>
      </c>
      <c r="E28" s="8" t="s">
        <v>309</v>
      </c>
      <c r="F28" s="8" t="s">
        <v>310</v>
      </c>
      <c r="G28" s="8" t="s">
        <v>311</v>
      </c>
    </row>
    <row r="29" ht="18.0" customHeight="1">
      <c r="A29" s="10">
        <v>26.0</v>
      </c>
      <c r="B29" s="10" t="s">
        <v>107</v>
      </c>
      <c r="C29" s="12" t="s">
        <v>312</v>
      </c>
      <c r="D29" s="12" t="s">
        <v>250</v>
      </c>
      <c r="E29" s="12" t="s">
        <v>313</v>
      </c>
      <c r="F29" s="12" t="s">
        <v>252</v>
      </c>
      <c r="G29" s="12" t="s">
        <v>314</v>
      </c>
    </row>
    <row r="30" ht="18.0" customHeight="1">
      <c r="A30" s="6">
        <v>27.0</v>
      </c>
      <c r="B30" s="6" t="s">
        <v>111</v>
      </c>
      <c r="C30" s="8" t="s">
        <v>315</v>
      </c>
      <c r="D30" s="8" t="s">
        <v>258</v>
      </c>
      <c r="E30" s="8" t="s">
        <v>316</v>
      </c>
      <c r="F30" s="8" t="s">
        <v>260</v>
      </c>
      <c r="G30" s="8" t="s">
        <v>317</v>
      </c>
    </row>
    <row r="31" ht="18.0" customHeight="1">
      <c r="A31" s="10">
        <v>28.0</v>
      </c>
      <c r="B31" s="10" t="s">
        <v>114</v>
      </c>
      <c r="C31" s="12" t="s">
        <v>318</v>
      </c>
      <c r="D31" s="12" t="s">
        <v>319</v>
      </c>
      <c r="E31" s="12" t="s">
        <v>320</v>
      </c>
      <c r="F31" s="12" t="s">
        <v>321</v>
      </c>
      <c r="G31" s="12" t="s">
        <v>322</v>
      </c>
    </row>
    <row r="32" ht="18.0" customHeight="1">
      <c r="A32" s="6">
        <v>29.0</v>
      </c>
      <c r="B32" s="6" t="s">
        <v>118</v>
      </c>
      <c r="C32" s="8" t="s">
        <v>323</v>
      </c>
      <c r="D32" s="8" t="s">
        <v>296</v>
      </c>
      <c r="E32" s="8" t="s">
        <v>324</v>
      </c>
      <c r="F32" s="8" t="s">
        <v>234</v>
      </c>
      <c r="G32" s="8" t="s">
        <v>325</v>
      </c>
    </row>
    <row r="33" ht="18.0" customHeight="1">
      <c r="A33" s="10">
        <v>30.0</v>
      </c>
      <c r="B33" s="10" t="s">
        <v>121</v>
      </c>
      <c r="C33" s="12" t="s">
        <v>326</v>
      </c>
      <c r="D33" s="12" t="s">
        <v>299</v>
      </c>
      <c r="E33" s="12" t="s">
        <v>327</v>
      </c>
      <c r="F33" s="12" t="s">
        <v>260</v>
      </c>
      <c r="G33" s="12" t="s">
        <v>328</v>
      </c>
    </row>
    <row r="34" ht="18.0" customHeight="1">
      <c r="A34" s="6">
        <v>31.0</v>
      </c>
      <c r="B34" s="6" t="s">
        <v>125</v>
      </c>
      <c r="C34" s="8" t="s">
        <v>329</v>
      </c>
      <c r="D34" s="8" t="s">
        <v>330</v>
      </c>
      <c r="E34" s="8" t="s">
        <v>331</v>
      </c>
      <c r="F34" s="8" t="s">
        <v>332</v>
      </c>
      <c r="G34" s="8" t="s">
        <v>333</v>
      </c>
    </row>
    <row r="35" ht="18.0" customHeight="1">
      <c r="A35" s="10">
        <v>32.0</v>
      </c>
      <c r="B35" s="10" t="s">
        <v>128</v>
      </c>
      <c r="C35" s="12" t="s">
        <v>334</v>
      </c>
      <c r="D35" s="12" t="s">
        <v>335</v>
      </c>
      <c r="E35" s="12" t="s">
        <v>336</v>
      </c>
      <c r="F35" s="12" t="s">
        <v>337</v>
      </c>
      <c r="G35" s="12" t="s">
        <v>338</v>
      </c>
    </row>
    <row r="36" ht="18.0" customHeight="1">
      <c r="A36" s="6">
        <v>33.0</v>
      </c>
      <c r="B36" s="6" t="s">
        <v>132</v>
      </c>
      <c r="C36" s="8" t="s">
        <v>339</v>
      </c>
      <c r="D36" s="8" t="s">
        <v>258</v>
      </c>
      <c r="E36" s="8" t="s">
        <v>340</v>
      </c>
      <c r="F36" s="8" t="s">
        <v>260</v>
      </c>
      <c r="G36" s="8" t="s">
        <v>341</v>
      </c>
    </row>
    <row r="37" ht="18.0" customHeight="1">
      <c r="A37" s="10">
        <v>34.0</v>
      </c>
      <c r="B37" s="10" t="s">
        <v>135</v>
      </c>
      <c r="C37" s="12" t="s">
        <v>342</v>
      </c>
      <c r="D37" s="12" t="s">
        <v>343</v>
      </c>
      <c r="E37" s="12" t="s">
        <v>344</v>
      </c>
      <c r="F37" s="12" t="s">
        <v>270</v>
      </c>
      <c r="G37" s="12" t="s">
        <v>345</v>
      </c>
    </row>
    <row r="38" ht="18.0" customHeight="1">
      <c r="A38" s="6">
        <v>35.0</v>
      </c>
      <c r="B38" s="6" t="s">
        <v>138</v>
      </c>
      <c r="C38" s="8" t="s">
        <v>346</v>
      </c>
      <c r="D38" s="8" t="s">
        <v>347</v>
      </c>
      <c r="E38" s="8" t="s">
        <v>348</v>
      </c>
      <c r="F38" s="8" t="s">
        <v>349</v>
      </c>
      <c r="G38" s="8" t="s">
        <v>350</v>
      </c>
    </row>
    <row r="39" ht="18.0" customHeight="1">
      <c r="A39" s="10">
        <v>36.0</v>
      </c>
      <c r="B39" s="10" t="s">
        <v>142</v>
      </c>
      <c r="C39" s="12" t="s">
        <v>351</v>
      </c>
      <c r="D39" s="12" t="s">
        <v>352</v>
      </c>
      <c r="E39" s="12" t="s">
        <v>353</v>
      </c>
      <c r="F39" s="12" t="s">
        <v>256</v>
      </c>
      <c r="G39" s="12" t="s">
        <v>354</v>
      </c>
    </row>
    <row r="40" ht="18.0" customHeight="1">
      <c r="A40" s="6">
        <v>37.0</v>
      </c>
      <c r="B40" s="6" t="s">
        <v>146</v>
      </c>
      <c r="C40" s="8" t="s">
        <v>355</v>
      </c>
      <c r="D40" s="8" t="s">
        <v>296</v>
      </c>
      <c r="E40" s="8" t="s">
        <v>356</v>
      </c>
      <c r="F40" s="8" t="s">
        <v>357</v>
      </c>
      <c r="G40" s="8" t="s">
        <v>358</v>
      </c>
    </row>
    <row r="41" ht="18.0" customHeight="1">
      <c r="A41" s="10">
        <v>38.0</v>
      </c>
      <c r="B41" s="10" t="s">
        <v>150</v>
      </c>
      <c r="C41" s="12" t="s">
        <v>152</v>
      </c>
      <c r="D41" s="12" t="s">
        <v>232</v>
      </c>
      <c r="E41" s="12" t="s">
        <v>359</v>
      </c>
      <c r="F41" s="12" t="s">
        <v>360</v>
      </c>
      <c r="G41" s="12" t="s">
        <v>361</v>
      </c>
    </row>
    <row r="42" ht="18.0" customHeight="1">
      <c r="A42" s="6">
        <v>39.0</v>
      </c>
      <c r="B42" s="6" t="s">
        <v>154</v>
      </c>
      <c r="C42" s="8" t="s">
        <v>152</v>
      </c>
      <c r="D42" s="8" t="s">
        <v>362</v>
      </c>
      <c r="E42" s="8" t="s">
        <v>363</v>
      </c>
      <c r="F42" s="8" t="s">
        <v>364</v>
      </c>
      <c r="G42" s="8" t="s">
        <v>365</v>
      </c>
    </row>
    <row r="43" ht="18.0" customHeight="1">
      <c r="A43" s="10">
        <v>40.0</v>
      </c>
      <c r="B43" s="10" t="s">
        <v>157</v>
      </c>
      <c r="C43" s="12" t="s">
        <v>366</v>
      </c>
      <c r="D43" s="12" t="s">
        <v>367</v>
      </c>
      <c r="E43" s="12" t="s">
        <v>368</v>
      </c>
      <c r="F43" s="12" t="s">
        <v>369</v>
      </c>
      <c r="G43" s="12" t="s">
        <v>370</v>
      </c>
    </row>
    <row r="44" ht="18.0" customHeight="1">
      <c r="A44" s="6">
        <v>41.0</v>
      </c>
      <c r="B44" s="6" t="s">
        <v>161</v>
      </c>
      <c r="C44" s="8" t="s">
        <v>371</v>
      </c>
      <c r="D44" s="8" t="s">
        <v>372</v>
      </c>
      <c r="E44" s="8" t="s">
        <v>373</v>
      </c>
      <c r="F44" s="8" t="s">
        <v>374</v>
      </c>
      <c r="G44" s="8" t="s">
        <v>375</v>
      </c>
    </row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