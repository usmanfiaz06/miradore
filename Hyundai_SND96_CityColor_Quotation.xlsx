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uotation" sheetId="1" state="visible" r:id="rId3"/>
  </sheets>
  <definedNames>
    <definedName function="false" hidden="false" localSheetId="0" name="_xlnm.Print_Area" vbProcedure="false">Quotation!$A$1:$F$77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<sst xmlns="http://schemas.openxmlformats.org/spreadsheetml/2006/main" count="100" uniqueCount="80">
  <si>
    <t xml:space="preserve">QUOTATION</t>
  </si>
  <si>
    <t xml:space="preserve">SAUDI NATIONAL DAY 96 — CITY-COLOR LIGHTING</t>
  </si>
  <si>
    <t xml:space="preserve">Detailed BOQ &amp; Commercial Quotation — Hyundai Showrooms, Kingdom of Saudi Arabia</t>
  </si>
  <si>
    <t xml:space="preserve">Client:  Hyundai — Showrooms Network, KSA</t>
  </si>
  <si>
    <t xml:space="preserve">Quotation Ref:</t>
  </si>
  <si>
    <t xml:space="preserve">MIR-HYN-SND96-001</t>
  </si>
  <si>
    <t xml:space="preserve">Installation Date:  16 September 2026</t>
  </si>
  <si>
    <t xml:space="preserve">Quotation Date:</t>
  </si>
  <si>
    <t xml:space="preserve">04 September 2026</t>
  </si>
  <si>
    <t xml:space="preserve">Dismantling Date:  30 September 2026</t>
  </si>
  <si>
    <t xml:space="preserve">Currency:</t>
  </si>
  <si>
    <t xml:space="preserve">Saudi Riyal (SAR)</t>
  </si>
  <si>
    <t xml:space="preserve">Rental Duration:  15 Days</t>
  </si>
  <si>
    <t xml:space="preserve">Prices:</t>
  </si>
  <si>
    <t xml:space="preserve">Excluding 15% VAT</t>
  </si>
  <si>
    <t xml:space="preserve">1.  LOCATION-WISE BOQ</t>
  </si>
  <si>
    <t xml:space="preserve">#</t>
  </si>
  <si>
    <t xml:space="preserve">Showroom Location</t>
  </si>
  <si>
    <t xml:space="preserve">City-Color
Qty</t>
  </si>
  <si>
    <t xml:space="preserve">Days</t>
  </si>
  <si>
    <t xml:space="preserve">Rate per Unit
(per day, SAR)</t>
  </si>
  <si>
    <t xml:space="preserve">Total Amount
(SAR)</t>
  </si>
  <si>
    <t xml:space="preserve">Jeddah — Auto Mall Showroom</t>
  </si>
  <si>
    <t xml:space="preserve">Jeddah — Tahlia Showroom</t>
  </si>
  <si>
    <t xml:space="preserve">Jeddah — Al Haramain Showroom</t>
  </si>
  <si>
    <t xml:space="preserve">Jeddah — Obhur Showroom</t>
  </si>
  <si>
    <t xml:space="preserve">Makkah — Kakia Showroom</t>
  </si>
  <si>
    <t xml:space="preserve">Madinah — Airport Road Showroom</t>
  </si>
  <si>
    <t xml:space="preserve">Taif — Showroom</t>
  </si>
  <si>
    <t xml:space="preserve">Najran — Showroom</t>
  </si>
  <si>
    <t xml:space="preserve">Tabuk — Showroom</t>
  </si>
  <si>
    <t xml:space="preserve">TOTAL</t>
  </si>
  <si>
    <t xml:space="preserve">—</t>
  </si>
  <si>
    <t xml:space="preserve">2.  DETAILED BOQ — PER SHOWROOM</t>
  </si>
  <si>
    <t xml:space="preserve">Description</t>
  </si>
  <si>
    <t xml:space="preserve">Qty</t>
  </si>
  <si>
    <t xml:space="preserve">Unit</t>
  </si>
  <si>
    <t xml:space="preserve">Remarks</t>
  </si>
  <si>
    <t xml:space="preserve">City-Color LED Lighting Fixture (Saudi National Day Green)</t>
  </si>
  <si>
    <t xml:space="preserve">Nos</t>
  </si>
  <si>
    <t xml:space="preserve">Rental for 15 days @ SAR 160 per unit per day</t>
  </si>
  <si>
    <t xml:space="preserve">Transportation to Site</t>
  </si>
  <si>
    <t xml:space="preserve">LS</t>
  </si>
  <si>
    <t xml:space="preserve">Included</t>
  </si>
  <si>
    <t xml:space="preserve">Loading &amp; Unloading</t>
  </si>
  <si>
    <t xml:space="preserve">Installation of City-Color Fixtures</t>
  </si>
  <si>
    <t xml:space="preserve">Mounting Brackets &amp; Accessories</t>
  </si>
  <si>
    <t xml:space="preserve">Sets</t>
  </si>
  <si>
    <t xml:space="preserve">Electrical Cabling &amp; Connections</t>
  </si>
  <si>
    <t xml:space="preserve">Testing &amp; Commissioning</t>
  </si>
  <si>
    <t xml:space="preserve">Focusing, Aiming &amp; Programming</t>
  </si>
  <si>
    <t xml:space="preserve">Installation Manpower &amp; Supervision</t>
  </si>
  <si>
    <t xml:space="preserve">Technical Support During Rental Period</t>
  </si>
  <si>
    <t xml:space="preserve">Dismantling After Event</t>
  </si>
  <si>
    <t xml:space="preserve">Removal, Packing &amp; Transportation</t>
  </si>
  <si>
    <t xml:space="preserve">3.  COMMERCIAL SUMMARY</t>
  </si>
  <si>
    <t xml:space="preserve">Number of Showrooms</t>
  </si>
  <si>
    <t xml:space="preserve">City-Colors per Showroom</t>
  </si>
  <si>
    <t xml:space="preserve">Total City-Colors</t>
  </si>
  <si>
    <t xml:space="preserve">Rental Duration</t>
  </si>
  <si>
    <t xml:space="preserve">15 Days</t>
  </si>
  <si>
    <t xml:space="preserve">Daily Rate (per City-Color)</t>
  </si>
  <si>
    <t xml:space="preserve">Rate per City-Color for 15 Days</t>
  </si>
  <si>
    <t xml:space="preserve">Cost per Showroom</t>
  </si>
  <si>
    <t xml:space="preserve">TOTAL PROJECT VALUE — All 9 Showrooms (excl. VAT)</t>
  </si>
  <si>
    <t xml:space="preserve">VAT (15%)</t>
  </si>
  <si>
    <t xml:space="preserve">GRAND TOTAL (incl. VAT)</t>
  </si>
  <si>
    <t xml:space="preserve">4.  SCOPE OF SUPPLY &amp; SERVICES (INCLUDED)</t>
  </si>
  <si>
    <t xml:space="preserve">Equipment Rental   ·   Transportation   ·   Installation   ·   Cabling &amp; Connections   ·   Testing &amp; Commissioning   ·   Technical Support   ·   Dismantling &amp; Removal</t>
  </si>
  <si>
    <t xml:space="preserve">5.  IMPORTANT NOTES &amp; TERMS</t>
  </si>
  <si>
    <t xml:space="preserve">•  The rate of SAR 160 per City-Color per day is all-inclusive, covering rental, transportation, installation, accessories, testing, commissioning, technical support, dismantling and removal.</t>
  </si>
  <si>
    <t xml:space="preserve">•  Pricing is based on standard installation conditions. Any special access requirements (crane, boom lift, scaffolding, special permits, major electrical works, etc.) will be quoted separately after site assessment.</t>
  </si>
  <si>
    <t xml:space="preserve">•  Preferred Payment Terms (negotiable): 50% advance upon confirmation / purchase order; 50% upon completion of installation across all showrooms.</t>
  </si>
  <si>
    <t xml:space="preserve">•  Quotation is valid for the rental period stated (16 – 30 September 2026).</t>
  </si>
  <si>
    <t xml:space="preserve">•  All prices are in Saudi Riyals (SAR) and exclude 15% VAT, shown separately above.</t>
  </si>
  <si>
    <t xml:space="preserve">For &amp; on behalf of — MIRADORE EXPERIENCES</t>
  </si>
  <si>
    <t xml:space="preserve">CLIENT ACCEPTANCE — HYUNDAI</t>
  </si>
  <si>
    <t xml:space="preserve">Authorized Signatory</t>
  </si>
  <si>
    <t xml:space="preserve">Signature, Company Stamp &amp; Date</t>
  </si>
  <si>
    <t xml:space="preserve">MIRADORE EXPERIENCES — RIYADH, KINGDOM OF SAUDI ARABIA
Lighting a Brighter Tomorrow for Saudi Arabia  ·  Together We Shine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</si>
</sst>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General"/>
    <numFmt numFmtId="167" formatCode="0"/>
    <numFmt numFmtId="168" formatCode="#,##0.00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4"/>
      <color rgb="FF0F6E78"/>
      <name val="Arial"/>
      <family val="0"/>
      <charset val="1"/>
    </font>
    <font>
      <b val="true"/>
      <sz val="15"/>
      <color rgb="FF1F2A2C"/>
      <name val="Arial"/>
      <family val="0"/>
      <charset val="1"/>
    </font>
    <font>
      <sz val="10.5"/>
      <color rgb="FF5B6B6E"/>
      <name val="Arial"/>
      <family val="0"/>
      <charset val="1"/>
    </font>
    <font>
      <sz val="10"/>
      <color rgb="FF1F2A2C"/>
      <name val="Arial"/>
      <family val="0"/>
      <charset val="1"/>
    </font>
    <font>
      <b val="true"/>
      <sz val="10"/>
      <color rgb="FF0F6E78"/>
      <name val="Arial"/>
      <family val="0"/>
      <charset val="1"/>
    </font>
    <font>
      <b val="true"/>
      <sz val="11.5"/>
      <color rgb="FFFFFFFF"/>
      <name val="Arial"/>
      <family val="0"/>
      <charset val="1"/>
    </font>
    <font>
      <b val="true"/>
      <sz val="9.5"/>
      <color rgb="FFFFFFFF"/>
      <name val="Arial"/>
      <family val="0"/>
      <charset val="1"/>
    </font>
    <font>
      <sz val="9.5"/>
      <color rgb="FF1F2A2C"/>
      <name val="Arial"/>
      <family val="0"/>
      <charset val="1"/>
    </font>
    <font>
      <sz val="9.5"/>
      <color rgb="FF0000FF"/>
      <name val="Arial"/>
      <family val="0"/>
      <charset val="1"/>
    </font>
    <font>
      <b val="true"/>
      <sz val="9.5"/>
      <color rgb="FF1F2A2C"/>
      <name val="Arial"/>
      <family val="0"/>
      <charset val="1"/>
    </font>
    <font>
      <b val="true"/>
      <sz val="10.5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5B6B6E"/>
      <name val="Arial"/>
      <family val="0"/>
      <charset val="1"/>
    </font>
    <font>
      <i val="true"/>
      <sz val="9"/>
      <color rgb="FF5B6B6E"/>
      <name val="Arial"/>
      <family val="0"/>
      <charset val="1"/>
    </font>
    <font>
      <b val="true"/>
      <sz val="10"/>
      <color rgb="FF1F2A2C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.5"/>
      <color rgb="FF0F6E78"/>
      <name val="Arial"/>
      <family val="0"/>
      <charset val="1"/>
    </font>
    <font>
      <sz val="9"/>
      <color rgb="FF1F2A2C"/>
      <name val="Arial"/>
      <family val="0"/>
      <charset val="1"/>
    </font>
    <font>
      <b val="true"/>
      <sz val="9"/>
      <color rgb="FFFFFF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26524"/>
        <bgColor rgb="FFFF8080"/>
      </patternFill>
    </fill>
    <fill>
      <patternFill patternType="solid">
        <fgColor rgb="FFF4FAFA"/>
        <bgColor rgb="FFFFFFFF"/>
      </patternFill>
    </fill>
    <fill>
      <patternFill patternType="solid">
        <fgColor rgb="FF0F6E78"/>
        <bgColor rgb="FF008080"/>
      </patternFill>
    </fill>
    <fill>
      <patternFill patternType="solid">
        <fgColor rgb="FF0A555D"/>
        <bgColor rgb="FF0F6E78"/>
      </patternFill>
    </fill>
    <fill>
      <patternFill patternType="solid">
        <fgColor rgb="FFE8F2F3"/>
        <bgColor rgb="FFF4FAFA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9DADD"/>
      </left>
      <right style="thin">
        <color rgb="FFC9DADD"/>
      </right>
      <top style="thin">
        <color rgb="FFC9DADD"/>
      </top>
      <bottom style="thin">
        <color rgb="FFC9DADD"/>
      </bottom>
      <diagonal/>
    </border>
    <border diagonalUp="false" diagonalDown="false">
      <left/>
      <right/>
      <top style="thin">
        <color rgb="FF5B6B6E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4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6" fontId="1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17" fillId="3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17" fillId="0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7" fontId="7" fillId="0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7" fillId="0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5" fontId="7" fillId="0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18" fillId="6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5" fontId="18" fillId="6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8" fontId="7" fillId="0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19" fillId="4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8" fontId="19" fillId="4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20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0" xfId="0" applyFont="true" applyBorder="true" applyAlignment="true" applyProtection="false">
      <alignment horizontal="general" vertical="top" textRotation="0" wrapText="true" indent="1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6" fillId="0" borderId="2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22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6E78"/>
      <rgbColor rgb="FFC0C0C0"/>
      <rgbColor rgb="FF808080"/>
      <rgbColor rgb="FF9999FF"/>
      <rgbColor rgb="FF993366"/>
      <rgbColor rgb="FFF4FAFA"/>
      <rgbColor rgb="FFE8F2F3"/>
      <rgbColor rgb="FF660066"/>
      <rgbColor rgb="FFFF8080"/>
      <rgbColor rgb="FF0066CC"/>
      <rgbColor rgb="FFC9DA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26524"/>
      <rgbColor rgb="FF5B6B6E"/>
      <rgbColor rgb="FF969696"/>
      <rgbColor rgb="FF0A555D"/>
      <rgbColor rgb="FF339966"/>
      <rgbColor rgb="FF003300"/>
      <rgbColor rgb="FF333300"/>
      <rgbColor rgb="FF993300"/>
      <rgbColor rgb="FF993366"/>
      <rgbColor rgb="FF333399"/>
      <rgbColor rgb="FF1F2A2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1</xdr:col>
      <xdr:colOff>2857320</xdr:colOff>
      <xdr:row>4</xdr:row>
      <xdr:rowOff>180720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444600" y="190440"/>
          <a:ext cx="2857320" cy="780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76320</xdr:colOff>
      <xdr:row>67</xdr:row>
      <xdr:rowOff>171360</xdr:rowOff>
    </xdr:from>
    <xdr:to>
      <xdr:col>1</xdr:col>
      <xdr:colOff>2124000</xdr:colOff>
      <xdr:row>71</xdr:row>
      <xdr:rowOff>56880</xdr:rowOff>
    </xdr:to>
    <xdr:pic>
      <xdr:nvPicPr>
        <xdr:cNvPr id="1" name="Image 2" descr="Picture"/>
        <xdr:cNvPicPr/>
      </xdr:nvPicPr>
      <xdr:blipFill>
        <a:blip r:embed="rId2"/>
        <a:stretch/>
      </xdr:blipFill>
      <xdr:spPr>
        <a:xfrm>
          <a:off x="520920" y="15211440"/>
          <a:ext cx="2047680" cy="723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1428840</xdr:colOff>
      <xdr:row>67</xdr:row>
      <xdr:rowOff>19080</xdr:rowOff>
    </xdr:from>
    <xdr:to>
      <xdr:col>1</xdr:col>
      <xdr:colOff>2419200</xdr:colOff>
      <xdr:row>71</xdr:row>
      <xdr:rowOff>171360</xdr:rowOff>
    </xdr:to>
    <xdr:pic>
      <xdr:nvPicPr>
        <xdr:cNvPr id="2" name="Image 3" descr="Picture"/>
        <xdr:cNvPicPr/>
      </xdr:nvPicPr>
      <xdr:blipFill>
        <a:blip r:embed="rId3"/>
        <a:stretch/>
      </xdr:blipFill>
      <xdr:spPr>
        <a:xfrm>
          <a:off x="1873440" y="15059160"/>
          <a:ext cx="990360" cy="99036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2:F7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16"/>
    <col collapsed="false" customWidth="true" hidden="false" outlineLevel="0" max="6" min="6" style="0" width="17"/>
  </cols>
  <sheetData>
    <row r="2" customFormat="false" ht="15.75" hidden="false" customHeight="true" outlineLevel="0" collapsed="false">
      <c r="D2" s="1" t="s">
        <v>0</v>
      </c>
      <c r="E2" s="1"/>
      <c r="F2" s="1"/>
    </row>
    <row r="3" customFormat="false" ht="15.75" hidden="false" customHeight="true" outlineLevel="0" collapsed="false">
      <c r="D3" s="1"/>
      <c r="E3" s="1"/>
      <c r="F3" s="1"/>
    </row>
    <row r="4" customFormat="false" ht="15.75" hidden="false" customHeight="true" outlineLevel="0" collapsed="false">
      <c r="D4" s="1"/>
      <c r="E4" s="1"/>
      <c r="F4" s="1"/>
    </row>
    <row r="5" customFormat="false" ht="15.75" hidden="false" customHeight="true" outlineLevel="0" collapsed="false">
      <c r="D5" s="1"/>
      <c r="E5" s="1"/>
      <c r="F5" s="1"/>
    </row>
    <row r="7" customFormat="false" ht="3" hidden="false" customHeight="true" outlineLevel="0" collapsed="false">
      <c r="A7" s="2"/>
      <c r="B7" s="2"/>
      <c r="C7" s="2"/>
      <c r="D7" s="2"/>
      <c r="E7" s="2"/>
      <c r="F7" s="2"/>
    </row>
    <row r="9" customFormat="false" ht="21.75" hidden="false" customHeight="true" outlineLevel="0" collapsed="false">
      <c r="A9" s="3" t="s">
        <v>1</v>
      </c>
      <c r="B9" s="3"/>
      <c r="C9" s="3"/>
      <c r="D9" s="3"/>
      <c r="E9" s="3"/>
      <c r="F9" s="3"/>
    </row>
    <row r="10" customFormat="false" ht="15.75" hidden="false" customHeight="true" outlineLevel="0" collapsed="false">
      <c r="A10" s="4" t="s">
        <v>2</v>
      </c>
      <c r="B10" s="4"/>
      <c r="C10" s="4"/>
      <c r="D10" s="4"/>
      <c r="E10" s="4"/>
      <c r="F10" s="4"/>
    </row>
    <row r="12" customFormat="false" ht="16.5" hidden="false" customHeight="true" outlineLevel="0" collapsed="false">
      <c r="A12" s="5" t="s">
        <v>3</v>
      </c>
      <c r="B12" s="5"/>
      <c r="C12" s="6" t="s">
        <v>4</v>
      </c>
      <c r="D12" s="6"/>
      <c r="E12" s="5" t="s">
        <v>5</v>
      </c>
      <c r="F12" s="5"/>
    </row>
    <row r="13" customFormat="false" ht="16.5" hidden="false" customHeight="true" outlineLevel="0" collapsed="false">
      <c r="A13" s="7" t="s">
        <v>6</v>
      </c>
      <c r="B13" s="7"/>
      <c r="C13" s="8" t="s">
        <v>7</v>
      </c>
      <c r="D13" s="8"/>
      <c r="E13" s="7" t="s">
        <v>8</v>
      </c>
      <c r="F13" s="7"/>
    </row>
    <row r="14" customFormat="false" ht="16.5" hidden="false" customHeight="true" outlineLevel="0" collapsed="false">
      <c r="A14" s="5" t="s">
        <v>9</v>
      </c>
      <c r="B14" s="5"/>
      <c r="C14" s="6" t="s">
        <v>10</v>
      </c>
      <c r="D14" s="6"/>
      <c r="E14" s="5" t="s">
        <v>11</v>
      </c>
      <c r="F14" s="5"/>
    </row>
    <row r="15" customFormat="false" ht="16.5" hidden="false" customHeight="true" outlineLevel="0" collapsed="false">
      <c r="A15" s="7" t="s">
        <v>12</v>
      </c>
      <c r="B15" s="7"/>
      <c r="C15" s="8" t="s">
        <v>13</v>
      </c>
      <c r="D15" s="8"/>
      <c r="E15" s="7" t="s">
        <v>14</v>
      </c>
      <c r="F15" s="7"/>
    </row>
    <row r="17" customFormat="false" ht="21.75" hidden="false" customHeight="true" outlineLevel="0" collapsed="false">
      <c r="A17" s="9" t="s">
        <v>15</v>
      </c>
      <c r="B17" s="9"/>
      <c r="C17" s="9"/>
      <c r="D17" s="9"/>
      <c r="E17" s="9"/>
      <c r="F17" s="9"/>
    </row>
    <row r="18" customFormat="false" ht="25.5" hidden="false" customHeight="true" outlineLevel="0" collapsed="false">
      <c r="A18" s="10" t="s">
        <v>16</v>
      </c>
      <c r="B18" s="10" t="s">
        <v>17</v>
      </c>
      <c r="C18" s="10" t="s">
        <v>18</v>
      </c>
      <c r="D18" s="10" t="s">
        <v>19</v>
      </c>
      <c r="E18" s="10" t="s">
        <v>20</v>
      </c>
      <c r="F18" s="10" t="s">
        <v>21</v>
      </c>
    </row>
    <row r="19" customFormat="false" ht="16.5" hidden="false" customHeight="true" outlineLevel="0" collapsed="false">
      <c r="A19" s="11" t="n">
        <v>1</v>
      </c>
      <c r="B19" s="12" t="s">
        <v>22</v>
      </c>
      <c r="C19" s="13" t="n">
        <v>10</v>
      </c>
      <c r="D19" s="13" t="n">
        <v>15</v>
      </c>
      <c r="E19" s="14" t="n">
        <v>160</v>
      </c>
      <c r="F19" s="15" t="n">
        <f aca="false">C19*D19*E19</f>
        <v>24000</v>
      </c>
    </row>
    <row r="20" customFormat="false" ht="16.5" hidden="false" customHeight="true" outlineLevel="0" collapsed="false">
      <c r="A20" s="16" t="n">
        <v>2</v>
      </c>
      <c r="B20" s="17" t="s">
        <v>23</v>
      </c>
      <c r="C20" s="18" t="n">
        <v>10</v>
      </c>
      <c r="D20" s="18" t="n">
        <v>15</v>
      </c>
      <c r="E20" s="19" t="n">
        <v>160</v>
      </c>
      <c r="F20" s="20" t="n">
        <f aca="false">C20*D20*E20</f>
        <v>24000</v>
      </c>
    </row>
    <row r="21" customFormat="false" ht="16.5" hidden="false" customHeight="true" outlineLevel="0" collapsed="false">
      <c r="A21" s="11" t="n">
        <v>3</v>
      </c>
      <c r="B21" s="12" t="s">
        <v>24</v>
      </c>
      <c r="C21" s="13" t="n">
        <v>10</v>
      </c>
      <c r="D21" s="13" t="n">
        <v>15</v>
      </c>
      <c r="E21" s="14" t="n">
        <v>160</v>
      </c>
      <c r="F21" s="15" t="n">
        <f aca="false">C21*D21*E21</f>
        <v>24000</v>
      </c>
    </row>
    <row r="22" customFormat="false" ht="16.5" hidden="false" customHeight="true" outlineLevel="0" collapsed="false">
      <c r="A22" s="16" t="n">
        <v>4</v>
      </c>
      <c r="B22" s="17" t="s">
        <v>25</v>
      </c>
      <c r="C22" s="18" t="n">
        <v>10</v>
      </c>
      <c r="D22" s="18" t="n">
        <v>15</v>
      </c>
      <c r="E22" s="19" t="n">
        <v>160</v>
      </c>
      <c r="F22" s="20" t="n">
        <f aca="false">C22*D22*E22</f>
        <v>24000</v>
      </c>
    </row>
    <row r="23" customFormat="false" ht="16.5" hidden="false" customHeight="true" outlineLevel="0" collapsed="false">
      <c r="A23" s="11" t="n">
        <v>5</v>
      </c>
      <c r="B23" s="12" t="s">
        <v>26</v>
      </c>
      <c r="C23" s="13" t="n">
        <v>10</v>
      </c>
      <c r="D23" s="13" t="n">
        <v>15</v>
      </c>
      <c r="E23" s="14" t="n">
        <v>160</v>
      </c>
      <c r="F23" s="15" t="n">
        <f aca="false">C23*D23*E23</f>
        <v>24000</v>
      </c>
    </row>
    <row r="24" customFormat="false" ht="16.5" hidden="false" customHeight="true" outlineLevel="0" collapsed="false">
      <c r="A24" s="16" t="n">
        <v>6</v>
      </c>
      <c r="B24" s="17" t="s">
        <v>27</v>
      </c>
      <c r="C24" s="18" t="n">
        <v>10</v>
      </c>
      <c r="D24" s="18" t="n">
        <v>15</v>
      </c>
      <c r="E24" s="19" t="n">
        <v>160</v>
      </c>
      <c r="F24" s="20" t="n">
        <f aca="false">C24*D24*E24</f>
        <v>24000</v>
      </c>
    </row>
    <row r="25" customFormat="false" ht="16.5" hidden="false" customHeight="true" outlineLevel="0" collapsed="false">
      <c r="A25" s="11" t="n">
        <v>7</v>
      </c>
      <c r="B25" s="12" t="s">
        <v>28</v>
      </c>
      <c r="C25" s="13" t="n">
        <v>10</v>
      </c>
      <c r="D25" s="13" t="n">
        <v>15</v>
      </c>
      <c r="E25" s="14" t="n">
        <v>160</v>
      </c>
      <c r="F25" s="15" t="n">
        <f aca="false">C25*D25*E25</f>
        <v>24000</v>
      </c>
    </row>
    <row r="26" customFormat="false" ht="16.5" hidden="false" customHeight="true" outlineLevel="0" collapsed="false">
      <c r="A26" s="16" t="n">
        <v>8</v>
      </c>
      <c r="B26" s="17" t="s">
        <v>29</v>
      </c>
      <c r="C26" s="18" t="n">
        <v>10</v>
      </c>
      <c r="D26" s="18" t="n">
        <v>15</v>
      </c>
      <c r="E26" s="19" t="n">
        <v>160</v>
      </c>
      <c r="F26" s="20" t="n">
        <f aca="false">C26*D26*E26</f>
        <v>24000</v>
      </c>
    </row>
    <row r="27" customFormat="false" ht="16.5" hidden="false" customHeight="true" outlineLevel="0" collapsed="false">
      <c r="A27" s="11" t="n">
        <v>9</v>
      </c>
      <c r="B27" s="12" t="s">
        <v>30</v>
      </c>
      <c r="C27" s="13" t="n">
        <v>10</v>
      </c>
      <c r="D27" s="13" t="n">
        <v>15</v>
      </c>
      <c r="E27" s="14" t="n">
        <v>160</v>
      </c>
      <c r="F27" s="15" t="n">
        <f aca="false">C27*D27*E27</f>
        <v>24000</v>
      </c>
    </row>
    <row r="28" customFormat="false" ht="19.5" hidden="false" customHeight="true" outlineLevel="0" collapsed="false">
      <c r="A28" s="21" t="s">
        <v>31</v>
      </c>
      <c r="B28" s="21"/>
      <c r="C28" s="22" t="n">
        <f aca="false">SUM(C19:C27)</f>
        <v>90</v>
      </c>
      <c r="D28" s="22" t="n">
        <v>15</v>
      </c>
      <c r="E28" s="22" t="s">
        <v>32</v>
      </c>
      <c r="F28" s="23" t="n">
        <f aca="false">SUM(F19:F27)</f>
        <v>216000</v>
      </c>
    </row>
    <row r="30" customFormat="false" ht="21.75" hidden="false" customHeight="true" outlineLevel="0" collapsed="false">
      <c r="A30" s="9" t="s">
        <v>33</v>
      </c>
      <c r="B30" s="9"/>
      <c r="C30" s="9"/>
      <c r="D30" s="9"/>
      <c r="E30" s="9"/>
      <c r="F30" s="9"/>
    </row>
    <row r="31" customFormat="false" ht="25.5" hidden="false" customHeight="true" outlineLevel="0" collapsed="false">
      <c r="A31" s="10" t="s">
        <v>16</v>
      </c>
      <c r="B31" s="24" t="s">
        <v>34</v>
      </c>
      <c r="C31" s="10" t="s">
        <v>35</v>
      </c>
      <c r="D31" s="10" t="s">
        <v>36</v>
      </c>
      <c r="E31" s="24" t="s">
        <v>37</v>
      </c>
      <c r="F31" s="24"/>
    </row>
    <row r="32" customFormat="false" ht="24" hidden="false" customHeight="true" outlineLevel="0" collapsed="false">
      <c r="A32" s="11" t="n">
        <v>1</v>
      </c>
      <c r="B32" s="25" t="s">
        <v>38</v>
      </c>
      <c r="C32" s="11" t="n">
        <v>10</v>
      </c>
      <c r="D32" s="11" t="s">
        <v>39</v>
      </c>
      <c r="E32" s="26" t="s">
        <v>40</v>
      </c>
      <c r="F32" s="26"/>
    </row>
    <row r="33" customFormat="false" ht="15.75" hidden="false" customHeight="true" outlineLevel="0" collapsed="false">
      <c r="A33" s="16" t="n">
        <v>2</v>
      </c>
      <c r="B33" s="27" t="s">
        <v>41</v>
      </c>
      <c r="C33" s="16" t="n">
        <v>1</v>
      </c>
      <c r="D33" s="16" t="s">
        <v>42</v>
      </c>
      <c r="E33" s="28" t="s">
        <v>43</v>
      </c>
      <c r="F33" s="28"/>
    </row>
    <row r="34" customFormat="false" ht="15.75" hidden="false" customHeight="true" outlineLevel="0" collapsed="false">
      <c r="A34" s="11" t="n">
        <v>3</v>
      </c>
      <c r="B34" s="25" t="s">
        <v>44</v>
      </c>
      <c r="C34" s="11" t="n">
        <v>1</v>
      </c>
      <c r="D34" s="11" t="s">
        <v>42</v>
      </c>
      <c r="E34" s="29" t="s">
        <v>43</v>
      </c>
      <c r="F34" s="29"/>
    </row>
    <row r="35" customFormat="false" ht="15.75" hidden="false" customHeight="true" outlineLevel="0" collapsed="false">
      <c r="A35" s="16" t="n">
        <v>4</v>
      </c>
      <c r="B35" s="27" t="s">
        <v>45</v>
      </c>
      <c r="C35" s="16" t="n">
        <v>10</v>
      </c>
      <c r="D35" s="16" t="s">
        <v>39</v>
      </c>
      <c r="E35" s="28" t="s">
        <v>43</v>
      </c>
      <c r="F35" s="28"/>
    </row>
    <row r="36" customFormat="false" ht="15.75" hidden="false" customHeight="true" outlineLevel="0" collapsed="false">
      <c r="A36" s="11" t="n">
        <v>5</v>
      </c>
      <c r="B36" s="25" t="s">
        <v>46</v>
      </c>
      <c r="C36" s="11" t="n">
        <v>10</v>
      </c>
      <c r="D36" s="11" t="s">
        <v>47</v>
      </c>
      <c r="E36" s="29" t="s">
        <v>43</v>
      </c>
      <c r="F36" s="29"/>
    </row>
    <row r="37" customFormat="false" ht="15.75" hidden="false" customHeight="true" outlineLevel="0" collapsed="false">
      <c r="A37" s="16" t="n">
        <v>6</v>
      </c>
      <c r="B37" s="27" t="s">
        <v>48</v>
      </c>
      <c r="C37" s="16" t="n">
        <v>1</v>
      </c>
      <c r="D37" s="16" t="s">
        <v>42</v>
      </c>
      <c r="E37" s="28" t="s">
        <v>43</v>
      </c>
      <c r="F37" s="28"/>
    </row>
    <row r="38" customFormat="false" ht="15.75" hidden="false" customHeight="true" outlineLevel="0" collapsed="false">
      <c r="A38" s="11" t="n">
        <v>7</v>
      </c>
      <c r="B38" s="25" t="s">
        <v>49</v>
      </c>
      <c r="C38" s="11" t="n">
        <v>1</v>
      </c>
      <c r="D38" s="11" t="s">
        <v>42</v>
      </c>
      <c r="E38" s="29" t="s">
        <v>43</v>
      </c>
      <c r="F38" s="29"/>
    </row>
    <row r="39" customFormat="false" ht="15.75" hidden="false" customHeight="true" outlineLevel="0" collapsed="false">
      <c r="A39" s="16" t="n">
        <v>8</v>
      </c>
      <c r="B39" s="27" t="s">
        <v>50</v>
      </c>
      <c r="C39" s="16" t="n">
        <v>1</v>
      </c>
      <c r="D39" s="16" t="s">
        <v>42</v>
      </c>
      <c r="E39" s="28" t="s">
        <v>43</v>
      </c>
      <c r="F39" s="28"/>
    </row>
    <row r="40" customFormat="false" ht="15.75" hidden="false" customHeight="true" outlineLevel="0" collapsed="false">
      <c r="A40" s="11" t="n">
        <v>9</v>
      </c>
      <c r="B40" s="25" t="s">
        <v>51</v>
      </c>
      <c r="C40" s="11" t="n">
        <v>1</v>
      </c>
      <c r="D40" s="11" t="s">
        <v>42</v>
      </c>
      <c r="E40" s="29" t="s">
        <v>43</v>
      </c>
      <c r="F40" s="29"/>
    </row>
    <row r="41" customFormat="false" ht="15.75" hidden="false" customHeight="true" outlineLevel="0" collapsed="false">
      <c r="A41" s="16" t="n">
        <v>10</v>
      </c>
      <c r="B41" s="27" t="s">
        <v>52</v>
      </c>
      <c r="C41" s="16" t="n">
        <v>1</v>
      </c>
      <c r="D41" s="16" t="s">
        <v>42</v>
      </c>
      <c r="E41" s="28" t="s">
        <v>43</v>
      </c>
      <c r="F41" s="28"/>
    </row>
    <row r="42" customFormat="false" ht="15.75" hidden="false" customHeight="true" outlineLevel="0" collapsed="false">
      <c r="A42" s="11" t="n">
        <v>11</v>
      </c>
      <c r="B42" s="25" t="s">
        <v>53</v>
      </c>
      <c r="C42" s="11" t="n">
        <v>10</v>
      </c>
      <c r="D42" s="11" t="s">
        <v>39</v>
      </c>
      <c r="E42" s="29" t="s">
        <v>43</v>
      </c>
      <c r="F42" s="29"/>
    </row>
    <row r="43" customFormat="false" ht="15.75" hidden="false" customHeight="true" outlineLevel="0" collapsed="false">
      <c r="A43" s="16" t="n">
        <v>12</v>
      </c>
      <c r="B43" s="27" t="s">
        <v>54</v>
      </c>
      <c r="C43" s="16" t="n">
        <v>1</v>
      </c>
      <c r="D43" s="16" t="s">
        <v>42</v>
      </c>
      <c r="E43" s="28" t="s">
        <v>43</v>
      </c>
      <c r="F43" s="28"/>
    </row>
    <row r="45" customFormat="false" ht="21.75" hidden="false" customHeight="true" outlineLevel="0" collapsed="false">
      <c r="A45" s="9" t="s">
        <v>55</v>
      </c>
      <c r="B45" s="9"/>
      <c r="C45" s="9"/>
      <c r="D45" s="9"/>
      <c r="E45" s="9"/>
      <c r="F45" s="9"/>
    </row>
    <row r="46" customFormat="false" ht="16.5" hidden="false" customHeight="true" outlineLevel="0" collapsed="false">
      <c r="A46" s="7" t="s">
        <v>56</v>
      </c>
      <c r="B46" s="7"/>
      <c r="C46" s="7"/>
      <c r="D46" s="7"/>
      <c r="E46" s="30" t="n">
        <f aca="false">COUNTA(B19:B27)</f>
        <v>9</v>
      </c>
      <c r="F46" s="30"/>
    </row>
    <row r="47" customFormat="false" ht="16.5" hidden="false" customHeight="true" outlineLevel="0" collapsed="false">
      <c r="A47" s="7" t="s">
        <v>57</v>
      </c>
      <c r="B47" s="7"/>
      <c r="C47" s="7"/>
      <c r="D47" s="7"/>
      <c r="E47" s="30" t="n">
        <v>10</v>
      </c>
      <c r="F47" s="30"/>
    </row>
    <row r="48" customFormat="false" ht="16.5" hidden="false" customHeight="true" outlineLevel="0" collapsed="false">
      <c r="A48" s="7" t="s">
        <v>58</v>
      </c>
      <c r="B48" s="7"/>
      <c r="C48" s="7"/>
      <c r="D48" s="7"/>
      <c r="E48" s="30" t="n">
        <f aca="false">C28</f>
        <v>90</v>
      </c>
      <c r="F48" s="30"/>
    </row>
    <row r="49" customFormat="false" ht="16.5" hidden="false" customHeight="true" outlineLevel="0" collapsed="false">
      <c r="A49" s="7" t="s">
        <v>59</v>
      </c>
      <c r="B49" s="7"/>
      <c r="C49" s="7"/>
      <c r="D49" s="7"/>
      <c r="E49" s="31" t="s">
        <v>60</v>
      </c>
      <c r="F49" s="31"/>
    </row>
    <row r="50" customFormat="false" ht="16.5" hidden="false" customHeight="true" outlineLevel="0" collapsed="false">
      <c r="A50" s="7" t="s">
        <v>61</v>
      </c>
      <c r="B50" s="7"/>
      <c r="C50" s="7"/>
      <c r="D50" s="7"/>
      <c r="E50" s="32" t="n">
        <f aca="false">E19</f>
        <v>160</v>
      </c>
      <c r="F50" s="32"/>
    </row>
    <row r="51" customFormat="false" ht="16.5" hidden="false" customHeight="true" outlineLevel="0" collapsed="false">
      <c r="A51" s="7" t="s">
        <v>62</v>
      </c>
      <c r="B51" s="7"/>
      <c r="C51" s="7"/>
      <c r="D51" s="7"/>
      <c r="E51" s="32" t="n">
        <f aca="false">E19*15</f>
        <v>2400</v>
      </c>
      <c r="F51" s="32"/>
    </row>
    <row r="52" customFormat="false" ht="16.5" hidden="false" customHeight="true" outlineLevel="0" collapsed="false">
      <c r="A52" s="7" t="s">
        <v>63</v>
      </c>
      <c r="B52" s="7"/>
      <c r="C52" s="7"/>
      <c r="D52" s="7"/>
      <c r="E52" s="32" t="n">
        <f aca="false">F19</f>
        <v>24000</v>
      </c>
      <c r="F52" s="32"/>
    </row>
    <row r="53" customFormat="false" ht="18" hidden="false" customHeight="true" outlineLevel="0" collapsed="false">
      <c r="A53" s="33" t="s">
        <v>64</v>
      </c>
      <c r="B53" s="33"/>
      <c r="C53" s="33"/>
      <c r="D53" s="33"/>
      <c r="E53" s="34" t="n">
        <f aca="false">F28</f>
        <v>216000</v>
      </c>
      <c r="F53" s="34"/>
    </row>
    <row r="54" customFormat="false" ht="16.5" hidden="false" customHeight="true" outlineLevel="0" collapsed="false">
      <c r="A54" s="7" t="s">
        <v>65</v>
      </c>
      <c r="B54" s="7"/>
      <c r="C54" s="7"/>
      <c r="D54" s="7"/>
      <c r="E54" s="35" t="n">
        <f aca="false">ROUND(E53*0.15,2)</f>
        <v>32400</v>
      </c>
      <c r="F54" s="35"/>
    </row>
    <row r="55" customFormat="false" ht="21.75" hidden="false" customHeight="true" outlineLevel="0" collapsed="false">
      <c r="A55" s="36" t="s">
        <v>66</v>
      </c>
      <c r="B55" s="36"/>
      <c r="C55" s="36"/>
      <c r="D55" s="36"/>
      <c r="E55" s="37" t="n">
        <f aca="false">E53+E54</f>
        <v>248400</v>
      </c>
      <c r="F55" s="37"/>
    </row>
    <row r="57" customFormat="false" ht="21.75" hidden="false" customHeight="true" outlineLevel="0" collapsed="false">
      <c r="A57" s="9" t="s">
        <v>67</v>
      </c>
      <c r="B57" s="9"/>
      <c r="C57" s="9"/>
      <c r="D57" s="9"/>
      <c r="E57" s="9"/>
      <c r="F57" s="9"/>
    </row>
    <row r="58" customFormat="false" ht="19.5" hidden="false" customHeight="true" outlineLevel="0" collapsed="false">
      <c r="A58" s="38" t="s">
        <v>68</v>
      </c>
      <c r="B58" s="38"/>
      <c r="C58" s="38"/>
      <c r="D58" s="38"/>
      <c r="E58" s="38"/>
      <c r="F58" s="38"/>
    </row>
    <row r="60" customFormat="false" ht="21.75" hidden="false" customHeight="true" outlineLevel="0" collapsed="false">
      <c r="A60" s="9" t="s">
        <v>69</v>
      </c>
      <c r="B60" s="9"/>
      <c r="C60" s="9"/>
      <c r="D60" s="9"/>
      <c r="E60" s="9"/>
      <c r="F60" s="9"/>
    </row>
    <row r="61" customFormat="false" ht="28.5" hidden="false" customHeight="true" outlineLevel="0" collapsed="false">
      <c r="A61" s="39" t="s">
        <v>70</v>
      </c>
      <c r="B61" s="39"/>
      <c r="C61" s="39"/>
      <c r="D61" s="39"/>
      <c r="E61" s="39"/>
      <c r="F61" s="39"/>
    </row>
    <row r="62" customFormat="false" ht="40.5" hidden="false" customHeight="true" outlineLevel="0" collapsed="false">
      <c r="A62" s="39" t="s">
        <v>71</v>
      </c>
      <c r="B62" s="39"/>
      <c r="C62" s="39"/>
      <c r="D62" s="39"/>
      <c r="E62" s="39"/>
      <c r="F62" s="39"/>
    </row>
    <row r="63" customFormat="false" ht="28.5" hidden="false" customHeight="true" outlineLevel="0" collapsed="false">
      <c r="A63" s="39" t="s">
        <v>72</v>
      </c>
      <c r="B63" s="39"/>
      <c r="C63" s="39"/>
      <c r="D63" s="39"/>
      <c r="E63" s="39"/>
      <c r="F63" s="39"/>
    </row>
    <row r="64" customFormat="false" ht="16.5" hidden="false" customHeight="true" outlineLevel="0" collapsed="false">
      <c r="A64" s="39" t="s">
        <v>73</v>
      </c>
      <c r="B64" s="39"/>
      <c r="C64" s="39"/>
      <c r="D64" s="39"/>
      <c r="E64" s="39"/>
      <c r="F64" s="39"/>
    </row>
    <row r="65" customFormat="false" ht="16.5" hidden="false" customHeight="true" outlineLevel="0" collapsed="false">
      <c r="A65" s="39" t="s">
        <v>74</v>
      </c>
      <c r="B65" s="39"/>
      <c r="C65" s="39"/>
      <c r="D65" s="39"/>
      <c r="E65" s="39"/>
      <c r="F65" s="39"/>
    </row>
    <row r="67" customFormat="false" ht="18" hidden="false" customHeight="true" outlineLevel="0" collapsed="false">
      <c r="A67" s="40" t="s">
        <v>75</v>
      </c>
      <c r="B67" s="40"/>
      <c r="C67" s="40"/>
      <c r="D67" s="40" t="s">
        <v>76</v>
      </c>
      <c r="E67" s="40"/>
      <c r="F67" s="40"/>
    </row>
    <row r="68" customFormat="false" ht="16.5" hidden="false" customHeight="true" outlineLevel="0" collapsed="false"/>
    <row r="69" customFormat="false" ht="16.5" hidden="false" customHeight="true" outlineLevel="0" collapsed="false"/>
    <row r="70" customFormat="false" ht="16.5" hidden="false" customHeight="true" outlineLevel="0" collapsed="false"/>
    <row r="71" customFormat="false" ht="16.5" hidden="false" customHeight="true" outlineLevel="0" collapsed="false"/>
    <row r="72" customFormat="false" ht="16.5" hidden="false" customHeight="true" outlineLevel="0" collapsed="false"/>
    <row r="73" customFormat="false" ht="16.5" hidden="false" customHeight="true" outlineLevel="0" collapsed="false"/>
    <row r="74" customFormat="false" ht="15.75" hidden="false" customHeight="true" outlineLevel="0" collapsed="false">
      <c r="A74" s="41" t="s">
        <v>77</v>
      </c>
      <c r="B74" s="41"/>
      <c r="D74" s="41" t="s">
        <v>78</v>
      </c>
      <c r="E74" s="41"/>
      <c r="F74" s="41"/>
    </row>
    <row r="76" customFormat="false" ht="15" hidden="false" customHeight="true" outlineLevel="0" collapsed="false">
      <c r="A76" s="42" t="s">
        <v>79</v>
      </c>
      <c r="B76" s="42"/>
      <c r="C76" s="42"/>
      <c r="D76" s="42"/>
      <c r="E76" s="42"/>
      <c r="F76" s="42"/>
    </row>
    <row r="77" customFormat="false" ht="15" hidden="false" customHeight="false" outlineLevel="0" collapsed="false">
      <c r="A77" s="42"/>
      <c r="B77" s="42"/>
      <c r="C77" s="42"/>
      <c r="D77" s="42"/>
      <c r="E77" s="42"/>
      <c r="F77" s="42"/>
    </row>
  </sheetData>
  <mergeCells count="65">
    <mergeCell ref="D2:F5"/>
    <mergeCell ref="A9:F9"/>
    <mergeCell ref="A10:F10"/>
    <mergeCell ref="A12:B12"/>
    <mergeCell ref="C12:D12"/>
    <mergeCell ref="E12:F12"/>
    <mergeCell ref="A13:B13"/>
    <mergeCell ref="C13:D13"/>
    <mergeCell ref="E13:F13"/>
    <mergeCell ref="A14:B14"/>
    <mergeCell ref="C14:D14"/>
    <mergeCell ref="E14:F14"/>
    <mergeCell ref="A15:B15"/>
    <mergeCell ref="C15:D15"/>
    <mergeCell ref="E15:F15"/>
    <mergeCell ref="A17:F17"/>
    <mergeCell ref="A28:B28"/>
    <mergeCell ref="A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A45:F45"/>
    <mergeCell ref="A46:D46"/>
    <mergeCell ref="E46:F46"/>
    <mergeCell ref="A47:D47"/>
    <mergeCell ref="E47:F47"/>
    <mergeCell ref="A48:D48"/>
    <mergeCell ref="E48:F48"/>
    <mergeCell ref="A49:D49"/>
    <mergeCell ref="E49:F49"/>
    <mergeCell ref="A50:D50"/>
    <mergeCell ref="E50:F50"/>
    <mergeCell ref="A51:D51"/>
    <mergeCell ref="E51:F51"/>
    <mergeCell ref="A52:D52"/>
    <mergeCell ref="E52:F52"/>
    <mergeCell ref="A53:D53"/>
    <mergeCell ref="E53:F53"/>
    <mergeCell ref="A54:D54"/>
    <mergeCell ref="E54:F54"/>
    <mergeCell ref="A55:D55"/>
    <mergeCell ref="E55:F55"/>
    <mergeCell ref="A57:F57"/>
    <mergeCell ref="A58:F58"/>
    <mergeCell ref="A60:F60"/>
    <mergeCell ref="A61:F61"/>
    <mergeCell ref="A62:F62"/>
    <mergeCell ref="A63:F63"/>
    <mergeCell ref="A64:F64"/>
    <mergeCell ref="A65:F65"/>
    <mergeCell ref="A67:C67"/>
    <mergeCell ref="D67:F67"/>
    <mergeCell ref="A74:B74"/>
    <mergeCell ref="D74:F74"/>
    <mergeCell ref="A76:F77"/>
  </mergeCells>
  <printOptions headings="false" gridLines="false" gridLinesSet="true" horizontalCentered="false" verticalCentered="false"/>
  <pageMargins left="0.45" right="0.45" top="0.5" bottom="0.55" header="0.511811023622047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&amp;C&amp;"Arial,Regular"&amp;8 &amp;K5b6b6eMiradore Experiences — Riyadh, KSA   |   Page &amp;P of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2026-09-04T19:20:15Z</dcterms:created>
  <dc:creator>Miradore Experiences</dc:creator>
  <dc:description/>
  <dc:language>en-US</dc:language>
  <cp:lastModifiedBy/>
  <dcterms:modified xsi:type="dcterms:W3CDTF">2026-09-04T19:20:15Z</dcterms:modified>
  <cp:revision>0</cp:revision>
  <dc:subject/>
  <dc:title>Hyundai SND96 City-Color Lighting — Quotation — Miradore Experiences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