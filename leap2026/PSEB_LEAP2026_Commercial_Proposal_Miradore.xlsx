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Lot A - Forum" sheetId="3" state="visible" r:id="rId5"/>
    <sheet name="Lot B - Pavilion" sheetId="4" state="visible" r:id="rId6"/>
    <sheet name="Team" sheetId="5" state="visible" r:id="rId7"/>
    <sheet name="Internal" sheetId="6" state="hidden" r:id="rId8"/>
  </sheets>
  <definedNames>
    <definedName function="false" hidden="false" localSheetId="0" name="_xlnm.Print_Area" vbProcedure="false">Cover!$A$1:$H$36</definedName>
    <definedName function="false" hidden="false" localSheetId="5" name="_xlnm.Print_Area" vbProcedure="false">Internal!$A$1:$G$29</definedName>
    <definedName function="false" hidden="false" localSheetId="2" name="_xlnm.Print_Area" vbProcedure="false">'Lot A - Forum'!$A$1:$H$31</definedName>
    <definedName function="false" hidden="false" localSheetId="2" name="_xlnm.Print_Titles" vbProcedure="false">'Lot A - Forum'!$4:$4</definedName>
    <definedName function="false" hidden="false" localSheetId="3" name="_xlnm.Print_Area" vbProcedure="false">'Lot B - Pavilion'!$A$1:$H$21</definedName>
    <definedName function="false" hidden="false" localSheetId="3" name="_xlnm.Print_Titles" vbProcedure="false">'Lot B - Pavilion'!$4:$4</definedName>
    <definedName function="false" hidden="false" localSheetId="1" name="_xlnm.Print_Area" vbProcedure="false">Summary!$A$1:$F$37</definedName>
    <definedName function="false" hidden="false" localSheetId="4" name="_xlnm.Print_Area" vbProcedure="false">Team!$A$1:$C$18</definedName>
    <definedName function="false" hidden="false" localSheetId="4" name="_xlnm.Print_Titles" vbProcedure="false">Team!$4:$4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<sst xmlns="http://schemas.openxmlformats.org/spreadsheetml/2006/main" count="271" uniqueCount="219">
  <si>
    <t xml:space="preserve">COMMERCIAL PROPOSAL</t>
  </si>
  <si>
    <t xml:space="preserve">(Financial Proposal — Lot A &amp; Lot B)</t>
  </si>
  <si>
    <t xml:space="preserve">Pakistan Saudi Business Forum</t>
  </si>
  <si>
    <t xml:space="preserve">&amp; Pakistan Pavilion at LEAP 2026</t>
  </si>
  <si>
    <t xml:space="preserve">Riyadh, Kingdom of Saudi Arabia   ·   30 August – 3 September 2026</t>
  </si>
  <si>
    <t xml:space="preserve">PREPARED FOR</t>
  </si>
  <si>
    <t xml:space="preserve">Pakistan Software Export Board (PSEB)</t>
  </si>
  <si>
    <t xml:space="preserve">Ministry of IT &amp; Telecommunication, Government of Pakistan</t>
  </si>
  <si>
    <t xml:space="preserve">6th Floor, New State Life Tower, Jinnah Avenue, Blue Area, Islamabad</t>
  </si>
  <si>
    <t xml:space="preserve">In response to PSEB RFQ — Onboarding an Event Management Vendor for the Pakistan Saudi Business
Forum and the Pakistan Pavilion at LEAP 2026 in Riyadh, Kingdom of Saudi Arabia</t>
  </si>
  <si>
    <t xml:space="preserve">PREPARED BY</t>
  </si>
  <si>
    <t xml:space="preserve">Miradore Experiences — Riyadh, Kingdom of Saudi Arabia</t>
  </si>
  <si>
    <t xml:space="preserve">Ref: MIR-PSEB-LEAP-2026-001        Date: 21 July 2026        Validity: 60 days</t>
  </si>
  <si>
    <t xml:space="preserve">End-to-End Event Management  ·  Turnkey Pavilion Construction  ·  Premium Branding &amp; AV  ·  Media Production</t>
  </si>
  <si>
    <t xml:space="preserve">EXECUTIVE SUMMARY &amp; COMMERCIAL OVERVIEW</t>
  </si>
  <si>
    <t xml:space="preserve">Pakistan Saudi Business Forum (Lot A) · Pakistan Pavilion at LEAP 2026 (Lot B) · Riyadh, KSA</t>
  </si>
  <si>
    <t xml:space="preserve">Miradore Experiences is pleased to submit this financial proposal for both lots of the PSEB RFQ. Lot A covers the 300-guest Pakistan Saudi Business Forum at Crowne Plaza Riyadh RDC — the hotel venue &amp; catering package is passed through at actual cost, with all production, branding, AV, staging and media services itemized at unit rates. Lot B covers the 162-SQM Pakistan Pavilion at Riyadh Exhibition &amp; Convention Centre, Malham (Hall 3 — H170 / J170), offered as a single all-inclusive turnkey package (design, fabrication, approvals, power and installation) plus daily hospitality, provisioning, cleaning and multi-crew media coverage across all four LEAP days.</t>
  </si>
  <si>
    <t xml:space="preserve">COMMERCIAL PARAMETERS  (editable inputs)</t>
  </si>
  <si>
    <t xml:space="preserve">VAT (Kingdom of Saudi Arabia)</t>
  </si>
  <si>
    <t xml:space="preserve">Applied on all services</t>
  </si>
  <si>
    <t xml:space="preserve">Agency Commission / Management Fee</t>
  </si>
  <si>
    <t xml:space="preserve">Applied on each lot subtotal</t>
  </si>
  <si>
    <t xml:space="preserve">Exchange rate — PKR per 1 SAR (reference)</t>
  </si>
  <si>
    <t xml:space="preserve">Update on submission date; drives all PKR equivalents</t>
  </si>
  <si>
    <t xml:space="preserve">COMMERCIAL SUMMARY</t>
  </si>
  <si>
    <t xml:space="preserve">Description</t>
  </si>
  <si>
    <t xml:space="preserve">Amount (SAR)</t>
  </si>
  <si>
    <t xml:space="preserve">Amount (PKR)</t>
  </si>
  <si>
    <t xml:space="preserve">Notes</t>
  </si>
  <si>
    <t xml:space="preserve">Lot A — Pakistan Saudi Business Forum (30 Aug 2026)</t>
  </si>
  <si>
    <t xml:space="preserve">Incl. Crowne Plaza venue &amp; catering package at cost (325,000) + itemized production &amp; services</t>
  </si>
  <si>
    <t xml:space="preserve">Lot B — Pakistan Pavilion at LEAP 2026 (31 Aug – 3 Sep)</t>
  </si>
  <si>
    <t xml:space="preserve">Turnkey pavilion package + LEAP-days services — see Lot B sheet</t>
  </si>
  <si>
    <t xml:space="preserve">Combined Subtotal</t>
  </si>
  <si>
    <t xml:space="preserve">As per Commercial Parameters</t>
  </si>
  <si>
    <t xml:space="preserve">Total (excl. VAT)</t>
  </si>
  <si>
    <t xml:space="preserve">VAT</t>
  </si>
  <si>
    <t xml:space="preserve">GRAND TOTAL — BOTH LOTS (incl. VAT)</t>
  </si>
  <si>
    <t xml:space="preserve">Inclusive of all applicable taxes</t>
  </si>
  <si>
    <t xml:space="preserve">LOT-WISE TOTALS  (each lot priced to stand alone for independent award)</t>
  </si>
  <si>
    <t xml:space="preserve">Lot</t>
  </si>
  <si>
    <t xml:space="preserve">Total excl. VAT (SAR)</t>
  </si>
  <si>
    <t xml:space="preserve">Total incl. VAT (SAR)</t>
  </si>
  <si>
    <t xml:space="preserve">Total incl. VAT (PKR)</t>
  </si>
  <si>
    <t xml:space="preserve">Lot A — Business Forum (incl. agency commission)</t>
  </si>
  <si>
    <t xml:space="preserve">Lot B — LEAP Pavilion (incl. agency commission)</t>
  </si>
  <si>
    <t xml:space="preserve">PAYMENT TERMS &amp; KEY CONDITIONS</t>
  </si>
  <si>
    <t xml:space="preserve">•  Preferred Payment Terms (negotiable): 50% advance upon confirmation / work order — primarily to cover the mandatory advance payment required by Crowne Plaza Riyadh RDC to secure the venue, plus mobilization of fabrication and long-lead items; 30% two (2) days before the event; 20% balance after the event, upon successful delivery and verification.</t>
  </si>
  <si>
    <t xml:space="preserve">•  The Crowne Plaza Riyadh RDC venue &amp; catering package (Lot A, item A.1) is passed through at actual hotel package cost, with no markup.</t>
  </si>
  <si>
    <t xml:space="preserve">•  Prices are quoted in Saudi Riyals (SAR); PKR equivalents are provided at the reference exchange rate stated above and will be aligned to the prevailing rate at invoicing.</t>
  </si>
  <si>
    <t xml:space="preserve">•  Quoted totals are inclusive of all applicable taxes; VAT (15%) is shown separately for full transparency.</t>
  </si>
  <si>
    <t xml:space="preserve">•  PSEB may increase or decrease quantities of any item; unit rates above will apply pro-rata.</t>
  </si>
  <si>
    <t xml:space="preserve">•  All content, creative assets and campaign data produced under either lot remain the exclusive intellectual property of PSEB; no material will be disclosed or published without PSEB's prior written approval.</t>
  </si>
  <si>
    <t xml:space="preserve">•  A dedicated Project Manager is assigned exclusively to PSEB as single point of contact (see Team &amp; Resource Plan).</t>
  </si>
  <si>
    <t xml:space="preserve">•  Menu options for the 5-course continental buffet will be provided for PSEB approval upon award.</t>
  </si>
  <si>
    <t xml:space="preserve">•  Validity: 60 days from the date of submission.</t>
  </si>
  <si>
    <t xml:space="preserve">LOT A — PAKISTAN SAUDI BUSINESS FORUM</t>
  </si>
  <si>
    <t xml:space="preserve">Crowne Plaza Riyadh RDC · 30 August 2026 · 300 Guests · Itemized BOQ (SAR, with PKR equivalents)</t>
  </si>
  <si>
    <t xml:space="preserve">Item
Code</t>
  </si>
  <si>
    <t xml:space="preserve">Description of Sourced Scope</t>
  </si>
  <si>
    <t xml:space="preserve">Qty</t>
  </si>
  <si>
    <t xml:space="preserve">Unit</t>
  </si>
  <si>
    <t xml:space="preserve">Unit Rate
(SAR)</t>
  </si>
  <si>
    <t xml:space="preserve">Total
(SAR)</t>
  </si>
  <si>
    <t xml:space="preserve">Unit Rate
(PKR)</t>
  </si>
  <si>
    <t xml:space="preserve">Total
(PKR)</t>
  </si>
  <si>
    <t xml:space="preserve">A.1</t>
  </si>
  <si>
    <t xml:space="preserve">Venue Booking for 30 Aug 2026 — Crowne Plaza Riyadh RDC Hotel: booking on PSEB's behalf and securing the venue by facilitating all mandatory advance payments required by hotel management. All-inclusive hotel package covering ballroom/hall space for 300 guests, 5-course continental buffet dinner with two coffee-break services, banquet seating &amp; tables, hotel service staff and dedicated 5 Mbps internet. Passed through at actual hotel package cost.</t>
  </si>
  <si>
    <t xml:space="preserve">Package</t>
  </si>
  <si>
    <t xml:space="preserve">A.1.1</t>
  </si>
  <si>
    <t xml:space="preserve">Event Management, Production Planning, Venue Coordination &amp; Technical Rehearsal — end-to-end show management for the Forum.</t>
  </si>
  <si>
    <t xml:space="preserve">Job</t>
  </si>
  <si>
    <t xml:space="preserve">A.1.2</t>
  </si>
  <si>
    <t xml:space="preserve">Main Stage — portable stage 10m x 4m (40 sqm) with premium stage carpet and step access, as part of the main-stage arrangements under A.1.</t>
  </si>
  <si>
    <t xml:space="preserve">A.2</t>
  </si>
  <si>
    <t xml:space="preserve">VVIP Front-Row Premium Sofa Seating Layout with personalised name tags — 50 premium sofas, including 25 coffee tables with black stretch cloth and floral table-top arrangements.</t>
  </si>
  <si>
    <t xml:space="preserve">A.3</t>
  </si>
  <si>
    <t xml:space="preserve">10ft x 8ft Media Wall (flex with stand) outside the conference hall, with red carpet (12m x 2m), ambiance lighting and 6 Q-poles for entrance styling.</t>
  </si>
  <si>
    <t xml:space="preserve">A.4</t>
  </si>
  <si>
    <t xml:space="preserve">Reception / Guest Registration Desk with 2 chairs and flex backdrop branding.</t>
  </si>
  <si>
    <t xml:space="preserve">A.5</t>
  </si>
  <si>
    <t xml:space="preserve">High-Luminance 55" Digital Standees around the greeting zone, including electricity sourcing and PSEB-approved digital content loop (content prepared by vendor).</t>
  </si>
  <si>
    <t xml:space="preserve">Nos</t>
  </si>
  <si>
    <t xml:space="preserve">A.6</t>
  </si>
  <si>
    <t xml:space="preserve">Complete Lighting &amp; Sound System for keynotes, presentations and panel discussions — line-array speakers, digital console, wireless and podium microphones, moving heads, parcans, city colors and uplights, with dedicated audio and lighting engineers.</t>
  </si>
  <si>
    <t xml:space="preserve">A.7</t>
  </si>
  <si>
    <t xml:space="preserve">High-Resolution 30ft x 12ft SMD Main Screen with integrated neon border, including media server, washout and full content design as per PSEB-approved event flow and speakers.</t>
  </si>
  <si>
    <t xml:space="preserve">A.7.1</t>
  </si>
  <si>
    <t xml:space="preserve">6ft x 8ft SMD Mirror Panels throughout the hall, with content designed as per PSEB's directions and approval.</t>
  </si>
  <si>
    <t xml:space="preserve">A.8</t>
  </si>
  <si>
    <t xml:space="preserve">Customised wooden speaker podium with the official event logo integrated onto the front fascia, podium microphone and step stool.</t>
  </si>
  <si>
    <t xml:space="preserve">A.9</t>
  </si>
  <si>
    <t xml:space="preserve">5-Course Continental Buffet Dinner for 300 participants (buffet setup) with table service for the Minister and VVIP tables — included within the Crowne Plaza hotel package under A.1; menu options to be provided for PSEB approval.</t>
  </si>
  <si>
    <t xml:space="preserve">—</t>
  </si>
  <si>
    <t xml:space="preserve">Included in A.1</t>
  </si>
  <si>
    <t xml:space="preserve">A.10</t>
  </si>
  <si>
    <t xml:space="preserve">Dedicated on-site project coordinator liaising continuously with hotel banquet staff to ensure flawless event flow throughout the Forum.</t>
  </si>
  <si>
    <t xml:space="preserve">A.11</t>
  </si>
  <si>
    <t xml:space="preserve">Sourced Media Crew — one professional photography team and one videography team for complete event coverage, including: 100% raw photo/video upload to a shared secure Google Drive by midnight; polished 90-second highlight reel next day; ten short speaker/segment clips (15-sec and 30-sec variants) for social media next day; and a 3–5 minute high-production event documentary within 2 days of the Forum.</t>
  </si>
  <si>
    <t xml:space="preserve">A.12</t>
  </si>
  <si>
    <t xml:space="preserve">Professional Ushers / Hostesses for guest management, registration support and VVIP handling.</t>
  </si>
  <si>
    <t xml:space="preserve">Person</t>
  </si>
  <si>
    <t xml:space="preserve">Subtotal</t>
  </si>
  <si>
    <t xml:space="preserve">Agency Commission / Management Fee (12%)</t>
  </si>
  <si>
    <t xml:space="preserve">VAT (15%)</t>
  </si>
  <si>
    <t xml:space="preserve">LOT A — TOTAL (incl. VAT)</t>
  </si>
  <si>
    <t xml:space="preserve">Note 1: A.1 is the Crowne Plaza Riyadh RDC all-inclusive package (hall space + full catering for 300 guests) passed through at actual hotel package cost, with no markup.</t>
  </si>
  <si>
    <t xml:space="preserve">Note 2: A.9 (5-course continental buffet &amp; coffee breaks) is included within the A.1 hotel package; final headcount will be settled on actuals as per PSEB confirmation.</t>
  </si>
  <si>
    <t xml:space="preserve">Note 3: All artwork and screen content will be produced by Miradore and released only after PSEB's written approval.</t>
  </si>
  <si>
    <t xml:space="preserve">LOT B — PAKISTAN PAVILION AT LEAP 2026</t>
  </si>
  <si>
    <t xml:space="preserve">Riyadh Exhibition &amp; Convention Centre (RECC), Malham · 31 Aug – 3 Sep 2026 · 162 SQM · Hall 3 (H170 / J170)</t>
  </si>
  <si>
    <t xml:space="preserve">B.1 – B.6</t>
  </si>
  <si>
    <t xml:space="preserve">TURNKEY PAKISTAN PAVILION — ALL-INCLUSIVE PACKAGE (162 SQM · 3 Blocks · 20 Exhibitor Booths · 30-SQM Networking Lounge · Ministerial Meeting Room), built to Annex I–III blueprints &amp; specifications. Package includes:
•  Design, fabrication, sourcing, logistics &amp; transportation to RECC Malham; structural build of Blocks A, B &amp; C; on-site management and full dismantling
•  Block A &amp; C wood/MDF build (16 booths: 2 x 9-SQM + 6 x 6-SQM per block); Block B premium architectural build (4 x 6-SQM booths, lounge &amp; meeting room)
•  Glass-walled ministerial meeting room (two 250cm x 240cm glass walls + glass door) with 55" LED TV, 2 single-seater and one 2-seater sofa
•  P2.6 LED screens (3.5m x 1m) for block branding; 43" LED TV per booth; backlit light boxes; neon accent lighting; premium wooden flooring with neon edge
•  3D acrylic + neon block logos, die-cut vinyl logos and full booth branding
•  Branded info counter with bar stool, 3 chairs and 1 round table per booth; networking lounge seating with round tables
•  Organizer stand-build permit, official stand audit approval, structural clearance and health/safety/security clearances ahead of move-in deadlines
•  Main electrical power line drops, panel deployment and per-booth hookups — minimum 2 multi-pin power sockets in every booth, meeting room and networking area, engineered to run all SMDs, LCDs and lighting rigs</t>
  </si>
  <si>
    <t xml:space="preserve">B.7</t>
  </si>
  <si>
    <t xml:space="preserve">Running Tea &amp; Coffee Station for the entire pavilion (approx. 500 cups/day) with service staff and consumables — 4 days.</t>
  </si>
  <si>
    <t xml:space="preserve">Day</t>
  </si>
  <si>
    <t xml:space="preserve">B.8</t>
  </si>
  <si>
    <t xml:space="preserve">Lounge Catering — premium assorted dates, traditional one-bite snacks and local confectioneries served in traditional plates daily (approx. 200 person-servings/day), with mineral water for the networking lounge — 4 days.</t>
  </si>
  <si>
    <t xml:space="preserve">B.9</t>
  </si>
  <si>
    <t xml:space="preserve">Daily Stall Provisions — 6 small chilled mineral water bottles delivered to every booth at the start of each morning session, plus 100 bottles/day for the lounge (approx. 880 bottles over 4 days).</t>
  </si>
  <si>
    <t xml:space="preserve">Bottle</t>
  </si>
  <si>
    <t xml:space="preserve">B.10</t>
  </si>
  <si>
    <t xml:space="preserve">Continuous Sanitation, Waste Removal &amp; Booth Dustbin Deployment — individual dustbin in each of the 20 booths emptied routinely, with dedicated daily cleaning of all booths and lounge area — 4 days.</t>
  </si>
  <si>
    <t xml:space="preserve">B.11</t>
  </si>
  <si>
    <t xml:space="preserve">Sourced Media Crew — 2 dedicated photography teams and 2 videography teams, permanent full-day presence for 4 days covering ministerial bilaterals, speaker sessions, booth engagement and visitor traffic. Daily deliverables: 100% raw uploads to shared Drive by midnight; 90-second daily highlight video by next morning; minimum 10 short clips daily (15-sec / 30-sec) by 10 AM; and 3–5 minute pavilion documentary within 2 days of event close.</t>
  </si>
  <si>
    <t xml:space="preserve">LOT B — TOTAL (incl. VAT)</t>
  </si>
  <si>
    <t xml:space="preserve">Note 1: Line B.1 – B.6 consolidates the complete turnkey pavilion scope of the RFP (fabrication &amp; logistics, Block A &amp; C build, Block B build, organizer approvals &amp; clearances, main power supply and per-booth electrical hookups) as one all-inclusive package price — everything required to hand over a fully operational 162-SQM pavilion before the move-in deadline.</t>
  </si>
  <si>
    <t xml:space="preserve">Note 2: A dedicated Project Manager and on-site coordination team (including tea servers) are deployed from project start for exhibitor coordination, booth design/artwork liaison and troubleshooting.</t>
  </si>
  <si>
    <t xml:space="preserve">Note 3: All raw footage, edits and creative assets are delivered as exclusive intellectual property of PSEB.</t>
  </si>
  <si>
    <t xml:space="preserve">RESOURCE PLAN &amp; TALENT PROFILES</t>
  </si>
  <si>
    <t xml:space="preserve">Dedicated delivery team — single point of contact assigned exclusively to PSEB</t>
  </si>
  <si>
    <t xml:space="preserve">Role</t>
  </si>
  <si>
    <t xml:space="preserve">Profile &amp; Responsibility</t>
  </si>
  <si>
    <t xml:space="preserve">Deployment</t>
  </si>
  <si>
    <t xml:space="preserve">Project Director &amp; Client Lead</t>
  </si>
  <si>
    <t xml:space="preserve">Overall engagement owner and commercial lead; direct escalation line for PSEB leadership; oversees both lots end-to-end.</t>
  </si>
  <si>
    <t xml:space="preserve">Full engagement, pre-event &amp; on-site</t>
  </si>
  <si>
    <t xml:space="preserve">Dedicated Project Manager (single point of contact for PSEB)</t>
  </si>
  <si>
    <t xml:space="preserve">Assigned exclusively to PSEB for all pre-event and on-site liaison: exhibitor coordination, booth design &amp; artwork approvals, schedule control, daily progress reporting and troubleshooting.</t>
  </si>
  <si>
    <t xml:space="preserve">Full-time from award to closeout</t>
  </si>
  <si>
    <t xml:space="preserve">Production Manager — Pavilion</t>
  </si>
  <si>
    <t xml:space="preserve">Leads fabrication, logistics and build of the 162-SQM pavilion; manages workshop, transport and RECC move-in/teardown per organizer schedule.</t>
  </si>
  <si>
    <t xml:space="preserve">Fabrication through teardown</t>
  </si>
  <si>
    <t xml:space="preserve">Site Supervisor &amp; Safety Officer — RECC</t>
  </si>
  <si>
    <t xml:space="preserve">On-floor supervision of build crews; compliance with organizer stand audit, structural and HSE requirements.</t>
  </si>
  <si>
    <t xml:space="preserve">Move-in to teardown</t>
  </si>
  <si>
    <t xml:space="preserve">Certified Electrical Engineer</t>
  </si>
  <si>
    <t xml:space="preserve">Main power drops, panel deployment and per-booth hookups per Annex II/III load metrics; on-call through all live days.</t>
  </si>
  <si>
    <t xml:space="preserve">Build + 4 live days</t>
  </si>
  <si>
    <t xml:space="preserve">AV &amp; Technical Lead — Forum</t>
  </si>
  <si>
    <t xml:space="preserve">SMD screens, mirror panels, sound and lighting systems at Crowne Plaza RDC; runs technical rehearsal and show calling.</t>
  </si>
  <si>
    <t xml:space="preserve">29 – 30 Aug</t>
  </si>
  <si>
    <t xml:space="preserve">Content Designer / Editor (2)</t>
  </si>
  <si>
    <t xml:space="preserve">Screen content per PSEB-approved event flow, daily highlight videos, social snippets and final documentaries.</t>
  </si>
  <si>
    <t xml:space="preserve">Pre-event + daily during events</t>
  </si>
  <si>
    <t xml:space="preserve">Photography Teams (2) &amp; Videography Teams (2)</t>
  </si>
  <si>
    <t xml:space="preserve">Independent professional crews with permanent presence: ministerial bilaterals, speaker sessions, booth engagement and visitor traffic; Forum coverage on 30 Aug.</t>
  </si>
  <si>
    <t xml:space="preserve">30 Aug + 4 LEAP days</t>
  </si>
  <si>
    <t xml:space="preserve">Hospitality Team — Tea Servers &amp; Lounge Attendants (4)</t>
  </si>
  <si>
    <t xml:space="preserve">Runs the tea/coffee station (approx. 500 cups/day), lounge dates &amp; snacks service and daily water provisioning to all 20 booths.</t>
  </si>
  <si>
    <t xml:space="preserve">4 LEAP days</t>
  </si>
  <si>
    <t xml:space="preserve">Cleaning Crew (4)</t>
  </si>
  <si>
    <t xml:space="preserve">Continuous cleaning of pavilion, booths and lounge; dustbin emptying and waste removal.</t>
  </si>
  <si>
    <t xml:space="preserve">On-site Event Coordinators (2)</t>
  </si>
  <si>
    <t xml:space="preserve">Guest registration, VVIP handling and hotel banquet liaison at the Business Forum; floor coordination at LEAP.</t>
  </si>
  <si>
    <t xml:space="preserve">CVs and detailed profiles of the assigned Project Manager and key personnel will be shared with PSEB upon award, prior to mobilization.</t>
  </si>
  <si>
    <t xml:space="preserve">INTERNAL — COSTING &amp; MARGIN (DO NOT PRINT / DO NOT SHARE)</t>
  </si>
  <si>
    <t xml:space="preserve">Quote cells pull live from the BOQ sheets; cost basis from supplier quotes as noted</t>
  </si>
  <si>
    <t xml:space="preserve">Item</t>
  </si>
  <si>
    <t xml:space="preserve">Line</t>
  </si>
  <si>
    <t xml:space="preserve">Quote (SAR)</t>
  </si>
  <si>
    <t xml:space="preserve">Cost (SAR)</t>
  </si>
  <si>
    <t xml:space="preserve">Margin (SAR)</t>
  </si>
  <si>
    <t xml:space="preserve">Margin %</t>
  </si>
  <si>
    <t xml:space="preserve">Cost source</t>
  </si>
  <si>
    <t xml:space="preserve">Crowne Plaza package (hall + catering) — pass-through</t>
  </si>
  <si>
    <t xml:space="preserve">Crowne Plaza RDC offer: 325,000 + 15% VAT, incl. hall space, dinner + 2 coffee breaks (priced as-is, no markup)</t>
  </si>
  <si>
    <t xml:space="preserve">Event management &amp; technical rehearsal</t>
  </si>
  <si>
    <t xml:space="preserve">Innovation BOQ A.1 10,000</t>
  </si>
  <si>
    <t xml:space="preserve">Stage 10m x 4m + carpet</t>
  </si>
  <si>
    <t xml:space="preserve">Innovation BOQ A.8 5,600 + stage carpet 1,800</t>
  </si>
  <si>
    <t xml:space="preserve">VVIP 50 sofas + tables + florals</t>
  </si>
  <si>
    <t xml:space="preserve">Innovation BOQ A.2 subtotal 12,250</t>
  </si>
  <si>
    <t xml:space="preserve">Media wall + red carpet + Q-poles</t>
  </si>
  <si>
    <t xml:space="preserve">Innovation BOQ A.3 6,500</t>
  </si>
  <si>
    <t xml:space="preserve">Registration desk + backdrop</t>
  </si>
  <si>
    <t xml:space="preserve">Innovation BOQ A.4 8,500</t>
  </si>
  <si>
    <t xml:space="preserve">Digital standees x4</t>
  </si>
  <si>
    <t xml:space="preserve">Innovation BOQ A.5 4 x 800</t>
  </si>
  <si>
    <t xml:space="preserve">Lighting + sound complete</t>
  </si>
  <si>
    <t xml:space="preserve">Innovation BOQ A.6 10,000 + A.6.1 5,500</t>
  </si>
  <si>
    <t xml:space="preserve">SMD main screen + server/washout</t>
  </si>
  <si>
    <t xml:space="preserve">Innovation BOQ A.7 14,000 + A.7.1 6,500</t>
  </si>
  <si>
    <t xml:space="preserve">SMD mirror panels x4</t>
  </si>
  <si>
    <t xml:space="preserve">Est. ~350/sqm x 17.8 sqm + rigging (est.)</t>
  </si>
  <si>
    <t xml:space="preserve">Branded podium + mic + stool</t>
  </si>
  <si>
    <t xml:space="preserve">Market estimate (not in supplier BOQ)</t>
  </si>
  <si>
    <t xml:space="preserve">On-site project coordinator</t>
  </si>
  <si>
    <t xml:space="preserve">Internal staffing estimate</t>
  </si>
  <si>
    <t xml:space="preserve">Media crew + full deliverables</t>
  </si>
  <si>
    <t xml:space="preserve">Innovation BOQ A.10 4,500 + editing/deliverables est. 1,500</t>
  </si>
  <si>
    <t xml:space="preserve">Ushers x10</t>
  </si>
  <si>
    <t xml:space="preserve">Innovation BOQ A.11 10 x 650</t>
  </si>
  <si>
    <t xml:space="preserve">B.1-B.6</t>
  </si>
  <si>
    <t xml:space="preserve">Turnkey pavilion (booth package)</t>
  </si>
  <si>
    <t xml:space="preserve">Alpha Dimensions revised QUT-0126-26: 130,435 + VAT = 150,000 incl. VAT (orig. detailed quote 335,810 excl. VAT)</t>
  </si>
  <si>
    <t xml:space="preserve">Tea &amp; coffee station 4 days</t>
  </si>
  <si>
    <t xml:space="preserve">Partially covered in Alpha revised (catering incl.); staff/consumables top-up est.</t>
  </si>
  <si>
    <t xml:space="preserve">Lounge dates &amp; snacks 4 days</t>
  </si>
  <si>
    <t xml:space="preserve">Catering supplier est. ~2,500/day</t>
  </si>
  <si>
    <t xml:space="preserve">Water bottles 880</t>
  </si>
  <si>
    <t xml:space="preserve">Est. 1.50/bottle wholesale</t>
  </si>
  <si>
    <t xml:space="preserve">Cleaning &amp; waste 4 days</t>
  </si>
  <si>
    <t xml:space="preserve">Est. 1,200/day</t>
  </si>
  <si>
    <t xml:space="preserve">2+2 media crews 4 days + editing</t>
  </si>
  <si>
    <t xml:space="preserve">Partially covered in Alpha revised (coverage incl.); add'l crews/editing est. 6,000/day</t>
  </si>
  <si>
    <t xml:space="preserve">TOTALS (excl. VAT, before agency commission)</t>
  </si>
  <si>
    <t xml:space="preserve">Agency commission (12% on lot subtotals) — additional revenue on top</t>
  </si>
  <si>
    <t xml:space="preserve">Assumptions: Crowne Plaza RDC package 325,000 SAR + 15% VAT (hall + dinner + 2 coffee breaks, 300 pax) per offer relayed 18 Jul 2026, passed through at cost; supplier costs from Innovation Events BOQ (WhatsApp, 18 Jul 2026) and Alpha Dimensions QUT-0126-26 (20 Jul 2026); 'est.' items are internal estimates. Costs above are excl. VAT; input VAT on supplier invoices is recoverable.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</si>
</sst>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.00"/>
    <numFmt numFmtId="167" formatCode="#,##0"/>
    <numFmt numFmtId="168" formatCode="0.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0F6E78"/>
      <name val="Arial"/>
      <family val="0"/>
      <charset val="1"/>
    </font>
    <font>
      <sz val="11"/>
      <color rgb="FF5B6B6E"/>
      <name val="Arial"/>
      <family val="0"/>
      <charset val="1"/>
    </font>
    <font>
      <b val="true"/>
      <sz val="18"/>
      <color rgb="FF1F2A2C"/>
      <name val="Arial"/>
      <family val="0"/>
      <charset val="1"/>
    </font>
    <font>
      <sz val="11.5"/>
      <color rgb="FF5B6B6E"/>
      <name val="Arial"/>
      <family val="0"/>
      <charset val="1"/>
    </font>
    <font>
      <b val="true"/>
      <sz val="10"/>
      <color rgb="FFF26524"/>
      <name val="Arial"/>
      <family val="0"/>
      <charset val="1"/>
    </font>
    <font>
      <b val="true"/>
      <sz val="13"/>
      <color rgb="FF1F2A2C"/>
      <name val="Arial"/>
      <family val="0"/>
      <charset val="1"/>
    </font>
    <font>
      <sz val="10.5"/>
      <color rgb="FF5B6B6E"/>
      <name val="Arial"/>
      <family val="0"/>
      <charset val="1"/>
    </font>
    <font>
      <i val="true"/>
      <sz val="9.5"/>
      <color rgb="FF5B6B6E"/>
      <name val="Arial"/>
      <family val="0"/>
      <charset val="1"/>
    </font>
    <font>
      <b val="true"/>
      <sz val="10"/>
      <color rgb="FF1F2A2C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9.5"/>
      <color rgb="FFFFFFFF"/>
      <name val="Arial"/>
      <family val="0"/>
      <charset val="1"/>
    </font>
    <font>
      <sz val="10"/>
      <color rgb="FF1F2A2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B6B6E"/>
      <name val="Arial"/>
      <family val="0"/>
      <charset val="1"/>
    </font>
    <font>
      <b val="true"/>
      <sz val="11"/>
      <color rgb="FF0F6E78"/>
      <name val="Arial"/>
      <family val="0"/>
      <charset val="1"/>
    </font>
    <font>
      <i val="true"/>
      <sz val="8.5"/>
      <color rgb="FF5B6B6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.5"/>
      <color rgb="FFFFFFFF"/>
      <name val="Arial"/>
      <family val="0"/>
      <charset val="1"/>
    </font>
    <font>
      <sz val="9.5"/>
      <color rgb="FF1F2A2C"/>
      <name val="Arial"/>
      <family val="0"/>
      <charset val="1"/>
    </font>
    <font>
      <b val="true"/>
      <sz val="10"/>
      <color rgb="FF0F6E78"/>
      <name val="Arial"/>
      <family val="0"/>
      <charset val="1"/>
    </font>
    <font>
      <sz val="9.5"/>
      <color rgb="FF0000FF"/>
      <name val="Arial"/>
      <family val="0"/>
      <charset val="1"/>
    </font>
    <font>
      <b val="true"/>
      <sz val="9.5"/>
      <color rgb="FF1F2A2C"/>
      <name val="Arial"/>
      <family val="0"/>
      <charset val="1"/>
    </font>
    <font>
      <sz val="9.5"/>
      <color rgb="FF5B6B6E"/>
      <name val="Arial"/>
      <family val="0"/>
      <charset val="1"/>
    </font>
    <font>
      <b val="true"/>
      <sz val="9.5"/>
      <color rgb="FF5B6B6E"/>
      <name val="Arial"/>
      <family val="0"/>
      <charset val="1"/>
    </font>
    <font>
      <b val="true"/>
      <sz val="9.5"/>
      <color rgb="FF0F6E7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F6E78"/>
        <bgColor rgb="FF008080"/>
      </patternFill>
    </fill>
    <fill>
      <patternFill patternType="solid">
        <fgColor rgb="FFF26524"/>
        <bgColor rgb="FFFF8080"/>
      </patternFill>
    </fill>
    <fill>
      <patternFill patternType="solid">
        <fgColor rgb="FF0A555D"/>
        <bgColor rgb="FF0F6E78"/>
      </patternFill>
    </fill>
    <fill>
      <patternFill patternType="solid">
        <fgColor rgb="FFFFF3CD"/>
        <bgColor rgb="FFF4FAFA"/>
      </patternFill>
    </fill>
    <fill>
      <patternFill patternType="solid">
        <fgColor rgb="FFE8F2F3"/>
        <bgColor rgb="FFF4FAFA"/>
      </patternFill>
    </fill>
    <fill>
      <patternFill patternType="solid">
        <fgColor rgb="FFF4FA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ADD"/>
      </left>
      <right style="thin">
        <color rgb="FFC9DADD"/>
      </right>
      <top style="thin">
        <color rgb="FFC9DADD"/>
      </top>
      <bottom style="thin">
        <color rgb="FFC9DA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78"/>
      <rgbColor rgb="FFC0C0C0"/>
      <rgbColor rgb="FF808080"/>
      <rgbColor rgb="FF9999FF"/>
      <rgbColor rgb="FF993366"/>
      <rgbColor rgb="FFFFF3CD"/>
      <rgbColor rgb="FFE8F2F3"/>
      <rgbColor rgb="FF660066"/>
      <rgbColor rgb="FFFF8080"/>
      <rgbColor rgb="FF0066CC"/>
      <rgbColor rgb="FFC9DA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A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26524"/>
      <rgbColor rgb="FF5B6B6E"/>
      <rgbColor rgb="FF969696"/>
      <rgbColor rgb="FF0A555D"/>
      <rgbColor rgb="FF339966"/>
      <rgbColor rgb="FF003300"/>
      <rgbColor rgb="FF333300"/>
      <rgbColor rgb="FF993300"/>
      <rgbColor rgb="FF993366"/>
      <rgbColor rgb="FF333399"/>
      <rgbColor rgb="FF1F2A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4</xdr:row>
      <xdr:rowOff>0</xdr:rowOff>
    </xdr:from>
    <xdr:to>
      <xdr:col>5</xdr:col>
      <xdr:colOff>95040</xdr:colOff>
      <xdr:row>8</xdr:row>
      <xdr:rowOff>209160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689120" y="609480"/>
          <a:ext cx="4095360" cy="1123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7" min="2" style="0" width="15"/>
    <col collapsed="false" customWidth="true" hidden="false" outlineLevel="0" max="8" min="8" style="0" width="4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7.5" hidden="false" customHeight="true" outlineLevel="0" collapsed="false">
      <c r="A2" s="1"/>
      <c r="B2" s="1"/>
      <c r="C2" s="1"/>
      <c r="D2" s="1"/>
      <c r="E2" s="1"/>
      <c r="F2" s="1"/>
      <c r="G2" s="1"/>
      <c r="H2" s="1"/>
    </row>
    <row r="4" customFormat="false" ht="18" hidden="false" customHeight="true" outlineLevel="0" collapsed="false"/>
    <row r="5" customFormat="false" ht="18" hidden="false" customHeight="true" outlineLevel="0" collapsed="false"/>
    <row r="6" customFormat="false" ht="18" hidden="false" customHeight="true" outlineLevel="0" collapsed="false"/>
    <row r="7" customFormat="false" ht="18" hidden="false" customHeight="true" outlineLevel="0" collapsed="false"/>
    <row r="8" customFormat="false" ht="18" hidden="false" customHeight="true" outlineLevel="0" collapsed="false"/>
    <row r="9" customFormat="false" ht="18" hidden="false" customHeight="true" outlineLevel="0" collapsed="false"/>
    <row r="10" customFormat="false" ht="18" hidden="false" customHeight="true" outlineLevel="0" collapsed="false"/>
    <row r="12" customFormat="false" ht="36" hidden="false" customHeight="true" outlineLevel="0" collapsed="false">
      <c r="B12" s="2" t="s">
        <v>0</v>
      </c>
      <c r="C12" s="2"/>
      <c r="D12" s="2"/>
      <c r="E12" s="2"/>
      <c r="F12" s="2"/>
      <c r="G12" s="2"/>
    </row>
    <row r="13" customFormat="false" ht="15.75" hidden="false" customHeight="true" outlineLevel="0" collapsed="false">
      <c r="B13" s="3" t="s">
        <v>1</v>
      </c>
      <c r="C13" s="3"/>
      <c r="D13" s="3"/>
      <c r="E13" s="3"/>
      <c r="F13" s="3"/>
      <c r="G13" s="3"/>
    </row>
    <row r="15" customFormat="false" ht="25.5" hidden="false" customHeight="true" outlineLevel="0" collapsed="false">
      <c r="B15" s="4" t="s">
        <v>2</v>
      </c>
      <c r="C15" s="4"/>
      <c r="D15" s="4"/>
      <c r="E15" s="4"/>
      <c r="F15" s="4"/>
      <c r="G15" s="4"/>
    </row>
    <row r="16" customFormat="false" ht="25.5" hidden="false" customHeight="true" outlineLevel="0" collapsed="false">
      <c r="B16" s="4" t="s">
        <v>3</v>
      </c>
      <c r="C16" s="4"/>
      <c r="D16" s="4"/>
      <c r="E16" s="4"/>
      <c r="F16" s="4"/>
      <c r="G16" s="4"/>
    </row>
    <row r="17" customFormat="false" ht="19.5" hidden="false" customHeight="true" outlineLevel="0" collapsed="false">
      <c r="B17" s="5" t="s">
        <v>4</v>
      </c>
      <c r="C17" s="5"/>
      <c r="D17" s="5"/>
      <c r="E17" s="5"/>
      <c r="F17" s="5"/>
      <c r="G17" s="5"/>
    </row>
    <row r="19" customFormat="false" ht="3" hidden="false" customHeight="true" outlineLevel="0" collapsed="false">
      <c r="C19" s="6"/>
      <c r="D19" s="6"/>
      <c r="E19" s="6"/>
      <c r="F19" s="6"/>
    </row>
    <row r="21" customFormat="false" ht="15.75" hidden="false" customHeight="true" outlineLevel="0" collapsed="false">
      <c r="B21" s="7" t="s">
        <v>5</v>
      </c>
      <c r="C21" s="7"/>
      <c r="D21" s="7"/>
      <c r="E21" s="7"/>
      <c r="F21" s="7"/>
      <c r="G21" s="7"/>
    </row>
    <row r="22" customFormat="false" ht="19.5" hidden="false" customHeight="true" outlineLevel="0" collapsed="false">
      <c r="B22" s="8" t="s">
        <v>6</v>
      </c>
      <c r="C22" s="8"/>
      <c r="D22" s="8"/>
      <c r="E22" s="8"/>
      <c r="F22" s="8"/>
      <c r="G22" s="8"/>
    </row>
    <row r="23" customFormat="false" ht="15" hidden="false" customHeight="true" outlineLevel="0" collapsed="false">
      <c r="B23" s="9" t="s">
        <v>7</v>
      </c>
      <c r="C23" s="9"/>
      <c r="D23" s="9"/>
      <c r="E23" s="9"/>
      <c r="F23" s="9"/>
      <c r="G23" s="9"/>
    </row>
    <row r="24" customFormat="false" ht="15" hidden="false" customHeight="true" outlineLevel="0" collapsed="false">
      <c r="B24" s="9" t="s">
        <v>8</v>
      </c>
      <c r="C24" s="9"/>
      <c r="D24" s="9"/>
      <c r="E24" s="9"/>
      <c r="F24" s="9"/>
      <c r="G24" s="9"/>
    </row>
    <row r="26" customFormat="false" ht="27.75" hidden="false" customHeight="true" outlineLevel="0" collapsed="false">
      <c r="B26" s="10" t="s">
        <v>9</v>
      </c>
      <c r="C26" s="10"/>
      <c r="D26" s="10"/>
      <c r="E26" s="10"/>
      <c r="F26" s="10"/>
      <c r="G26" s="10"/>
    </row>
    <row r="29" customFormat="false" ht="15.75" hidden="false" customHeight="true" outlineLevel="0" collapsed="false">
      <c r="B29" s="7" t="s">
        <v>10</v>
      </c>
      <c r="C29" s="7"/>
      <c r="D29" s="7"/>
      <c r="E29" s="7"/>
      <c r="F29" s="7"/>
      <c r="G29" s="7"/>
    </row>
    <row r="30" customFormat="false" ht="19.5" hidden="false" customHeight="true" outlineLevel="0" collapsed="false">
      <c r="B30" s="8" t="s">
        <v>11</v>
      </c>
      <c r="C30" s="8"/>
      <c r="D30" s="8"/>
      <c r="E30" s="8"/>
      <c r="F30" s="8"/>
      <c r="G30" s="8"/>
    </row>
    <row r="32" customFormat="false" ht="15.75" hidden="false" customHeight="true" outlineLevel="0" collapsed="false">
      <c r="B32" s="11" t="s">
        <v>12</v>
      </c>
      <c r="C32" s="11"/>
      <c r="D32" s="11"/>
      <c r="E32" s="11"/>
      <c r="F32" s="11"/>
      <c r="G32" s="11"/>
    </row>
    <row r="35" customFormat="false" ht="15" hidden="false" customHeight="false" outlineLevel="0" collapsed="false">
      <c r="A35" s="12" t="s">
        <v>13</v>
      </c>
      <c r="B35" s="12"/>
      <c r="C35" s="12"/>
      <c r="D35" s="12"/>
      <c r="E35" s="12"/>
      <c r="F35" s="12"/>
      <c r="G35" s="12"/>
      <c r="H35" s="12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</row>
  </sheetData>
  <mergeCells count="14">
    <mergeCell ref="B12:G12"/>
    <mergeCell ref="B13:G13"/>
    <mergeCell ref="B15:G15"/>
    <mergeCell ref="B16:G16"/>
    <mergeCell ref="B17:G17"/>
    <mergeCell ref="B21:G21"/>
    <mergeCell ref="B22:G22"/>
    <mergeCell ref="B23:G23"/>
    <mergeCell ref="B24:G24"/>
    <mergeCell ref="B26:G26"/>
    <mergeCell ref="B29:G29"/>
    <mergeCell ref="B30:G30"/>
    <mergeCell ref="B32:G32"/>
    <mergeCell ref="A35:H36"/>
  </mergeCells>
  <printOptions headings="false" gridLines="false" gridLinesSet="true" horizontalCentered="false" verticalCentered="false"/>
  <pageMargins left="0.45" right="0.45" top="0.5" bottom="0.55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&amp;C&amp;"Arial,Regular"&amp;8 &amp;K5b6b6eMiradore Experiences — Riyadh, KSA   |   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4" min="3" style="0" width="17"/>
    <col collapsed="false" customWidth="true" hidden="false" outlineLevel="0" max="5" min="5" style="0" width="20"/>
    <col collapsed="false" customWidth="true" hidden="false" outlineLevel="0" max="6" min="6" style="0" width="3"/>
  </cols>
  <sheetData>
    <row r="1" customFormat="false" ht="30" hidden="false" customHeight="true" outlineLevel="0" collapsed="false">
      <c r="A1" s="13" t="s">
        <v>14</v>
      </c>
      <c r="B1" s="13"/>
      <c r="C1" s="13"/>
      <c r="D1" s="13"/>
      <c r="E1" s="13"/>
      <c r="F1" s="13"/>
    </row>
    <row r="2" customFormat="false" ht="16.5" hidden="false" customHeight="true" outlineLevel="0" collapsed="false">
      <c r="A2" s="14" t="s">
        <v>15</v>
      </c>
      <c r="B2" s="14"/>
      <c r="C2" s="14"/>
      <c r="D2" s="14"/>
      <c r="E2" s="14"/>
      <c r="F2" s="14"/>
    </row>
    <row r="4" customFormat="false" ht="78" hidden="false" customHeight="true" outlineLevel="0" collapsed="false">
      <c r="B4" s="15" t="s">
        <v>16</v>
      </c>
      <c r="C4" s="15"/>
      <c r="D4" s="15"/>
      <c r="E4" s="15"/>
    </row>
    <row r="6" customFormat="false" ht="18" hidden="false" customHeight="true" outlineLevel="0" collapsed="false">
      <c r="B6" s="16" t="s">
        <v>17</v>
      </c>
      <c r="C6" s="16"/>
      <c r="D6" s="16"/>
      <c r="E6" s="16"/>
    </row>
    <row r="7" customFormat="false" ht="16.5" hidden="false" customHeight="true" outlineLevel="0" collapsed="false">
      <c r="B7" s="17" t="s">
        <v>18</v>
      </c>
      <c r="C7" s="18" t="n">
        <v>0.15</v>
      </c>
      <c r="D7" s="19" t="s">
        <v>19</v>
      </c>
      <c r="E7" s="19"/>
    </row>
    <row r="8" customFormat="false" ht="16.5" hidden="false" customHeight="true" outlineLevel="0" collapsed="false">
      <c r="B8" s="17" t="s">
        <v>20</v>
      </c>
      <c r="C8" s="18" t="n">
        <v>0.12</v>
      </c>
      <c r="D8" s="19" t="s">
        <v>21</v>
      </c>
      <c r="E8" s="19"/>
    </row>
    <row r="9" customFormat="false" ht="16.5" hidden="false" customHeight="true" outlineLevel="0" collapsed="false">
      <c r="B9" s="17" t="s">
        <v>22</v>
      </c>
      <c r="C9" s="20" t="n">
        <v>75.5</v>
      </c>
      <c r="D9" s="19" t="s">
        <v>23</v>
      </c>
      <c r="E9" s="19"/>
    </row>
    <row r="11" customFormat="false" ht="19.5" hidden="false" customHeight="true" outlineLevel="0" collapsed="false">
      <c r="B11" s="21" t="s">
        <v>24</v>
      </c>
      <c r="C11" s="21"/>
      <c r="D11" s="21"/>
      <c r="E11" s="21"/>
    </row>
    <row r="12" customFormat="false" ht="18" hidden="false" customHeight="true" outlineLevel="0" collapsed="false">
      <c r="B12" s="22" t="s">
        <v>25</v>
      </c>
      <c r="C12" s="23" t="s">
        <v>26</v>
      </c>
      <c r="D12" s="23" t="s">
        <v>27</v>
      </c>
      <c r="E12" s="23" t="s">
        <v>28</v>
      </c>
    </row>
    <row r="13" customFormat="false" ht="27.75" hidden="false" customHeight="true" outlineLevel="0" collapsed="false">
      <c r="B13" s="24" t="s">
        <v>29</v>
      </c>
      <c r="C13" s="25" t="n">
        <f aca="false">'Lot A - Forum'!F20</f>
        <v>510000</v>
      </c>
      <c r="D13" s="25" t="n">
        <f aca="false">ROUND(C13*Summary!$C$9,0)</f>
        <v>38505000</v>
      </c>
      <c r="E13" s="26" t="s">
        <v>30</v>
      </c>
    </row>
    <row r="14" customFormat="false" ht="27.75" hidden="false" customHeight="true" outlineLevel="0" collapsed="false">
      <c r="B14" s="24" t="s">
        <v>31</v>
      </c>
      <c r="C14" s="25" t="n">
        <f aca="false">'Lot B - Pavilion'!F11</f>
        <v>317680</v>
      </c>
      <c r="D14" s="25" t="n">
        <f aca="false">ROUND(C14*Summary!$C$9,0)</f>
        <v>23984840</v>
      </c>
      <c r="E14" s="26" t="s">
        <v>32</v>
      </c>
    </row>
    <row r="15" customFormat="false" ht="18" hidden="false" customHeight="true" outlineLevel="0" collapsed="false">
      <c r="B15" s="27" t="s">
        <v>33</v>
      </c>
      <c r="C15" s="28" t="n">
        <f aca="false">C13+C14</f>
        <v>827680</v>
      </c>
      <c r="D15" s="28" t="n">
        <f aca="false">ROUND(C15*Summary!$C$9,0)</f>
        <v>62489840</v>
      </c>
      <c r="E15" s="29"/>
    </row>
    <row r="16" customFormat="false" ht="18" hidden="false" customHeight="true" outlineLevel="0" collapsed="false">
      <c r="B16" s="24" t="s">
        <v>20</v>
      </c>
      <c r="C16" s="25" t="n">
        <f aca="false">'Lot A - Forum'!F21+'Lot B - Pavilion'!F12</f>
        <v>99321.6</v>
      </c>
      <c r="D16" s="25" t="n">
        <f aca="false">ROUND(C16*Summary!$C$9,0)</f>
        <v>7498781</v>
      </c>
      <c r="E16" s="26" t="s">
        <v>34</v>
      </c>
    </row>
    <row r="17" customFormat="false" ht="18" hidden="false" customHeight="true" outlineLevel="0" collapsed="false">
      <c r="B17" s="27" t="s">
        <v>35</v>
      </c>
      <c r="C17" s="28" t="n">
        <f aca="false">C15+C16</f>
        <v>927001.6</v>
      </c>
      <c r="D17" s="28" t="n">
        <f aca="false">ROUND(C17*Summary!$C$9,0)</f>
        <v>69988621</v>
      </c>
      <c r="E17" s="29"/>
    </row>
    <row r="18" customFormat="false" ht="18" hidden="false" customHeight="true" outlineLevel="0" collapsed="false">
      <c r="B18" s="24" t="s">
        <v>36</v>
      </c>
      <c r="C18" s="25" t="n">
        <f aca="false">ROUND(C17*Summary!$C$7,2)</f>
        <v>139050.24</v>
      </c>
      <c r="D18" s="25" t="n">
        <f aca="false">ROUND(C18*Summary!$C$9,0)</f>
        <v>10498293</v>
      </c>
      <c r="E18" s="26"/>
    </row>
    <row r="19" customFormat="false" ht="21.75" hidden="false" customHeight="true" outlineLevel="0" collapsed="false">
      <c r="B19" s="30" t="s">
        <v>37</v>
      </c>
      <c r="C19" s="31" t="n">
        <f aca="false">C17+C18</f>
        <v>1066051.84</v>
      </c>
      <c r="D19" s="32" t="n">
        <f aca="false">ROUND(C19*Summary!$C$9,0)</f>
        <v>80486914</v>
      </c>
      <c r="E19" s="33" t="s">
        <v>38</v>
      </c>
    </row>
    <row r="21" customFormat="false" ht="15" hidden="false" customHeight="false" outlineLevel="0" collapsed="false">
      <c r="B21" s="21" t="s">
        <v>39</v>
      </c>
      <c r="C21" s="21"/>
      <c r="D21" s="21"/>
      <c r="E21" s="21"/>
    </row>
    <row r="22" customFormat="false" ht="18" hidden="false" customHeight="true" outlineLevel="0" collapsed="false">
      <c r="B22" s="22" t="s">
        <v>40</v>
      </c>
      <c r="C22" s="23" t="s">
        <v>41</v>
      </c>
      <c r="D22" s="23" t="s">
        <v>42</v>
      </c>
      <c r="E22" s="23" t="s">
        <v>43</v>
      </c>
    </row>
    <row r="23" customFormat="false" ht="19.5" hidden="false" customHeight="true" outlineLevel="0" collapsed="false">
      <c r="B23" s="24" t="s">
        <v>44</v>
      </c>
      <c r="C23" s="34" t="n">
        <f aca="false">'Lot A - Forum'!F22</f>
        <v>571200</v>
      </c>
      <c r="D23" s="34" t="n">
        <f aca="false">'Lot A - Forum'!F24</f>
        <v>656880</v>
      </c>
      <c r="E23" s="25" t="n">
        <f aca="false">ROUND(D23*Summary!$C$9,0)</f>
        <v>49594440</v>
      </c>
    </row>
    <row r="24" customFormat="false" ht="19.5" hidden="false" customHeight="true" outlineLevel="0" collapsed="false">
      <c r="B24" s="24" t="s">
        <v>45</v>
      </c>
      <c r="C24" s="34" t="n">
        <f aca="false">'Lot B - Pavilion'!F13</f>
        <v>355801.6</v>
      </c>
      <c r="D24" s="34" t="n">
        <f aca="false">'Lot B - Pavilion'!F15</f>
        <v>409171.84</v>
      </c>
      <c r="E24" s="25" t="n">
        <f aca="false">ROUND(D24*Summary!$C$9,0)</f>
        <v>30892474</v>
      </c>
    </row>
    <row r="26" customFormat="false" ht="15" hidden="false" customHeight="false" outlineLevel="0" collapsed="false">
      <c r="B26" s="21" t="s">
        <v>46</v>
      </c>
      <c r="C26" s="21"/>
      <c r="D26" s="21"/>
      <c r="E26" s="21"/>
    </row>
    <row r="27" customFormat="false" ht="51.75" hidden="false" customHeight="true" outlineLevel="0" collapsed="false">
      <c r="B27" s="35" t="s">
        <v>47</v>
      </c>
      <c r="C27" s="35"/>
      <c r="D27" s="35"/>
      <c r="E27" s="35"/>
    </row>
    <row r="28" customFormat="false" ht="27.75" hidden="false" customHeight="true" outlineLevel="0" collapsed="false">
      <c r="B28" s="35" t="s">
        <v>48</v>
      </c>
      <c r="C28" s="35"/>
      <c r="D28" s="35"/>
      <c r="E28" s="35"/>
    </row>
    <row r="29" customFormat="false" ht="27.75" hidden="false" customHeight="true" outlineLevel="0" collapsed="false">
      <c r="B29" s="35" t="s">
        <v>49</v>
      </c>
      <c r="C29" s="35"/>
      <c r="D29" s="35"/>
      <c r="E29" s="35"/>
    </row>
    <row r="30" customFormat="false" ht="15.75" hidden="false" customHeight="true" outlineLevel="0" collapsed="false">
      <c r="B30" s="35" t="s">
        <v>50</v>
      </c>
      <c r="C30" s="35"/>
      <c r="D30" s="35"/>
      <c r="E30" s="35"/>
    </row>
    <row r="31" customFormat="false" ht="15.75" hidden="false" customHeight="true" outlineLevel="0" collapsed="false">
      <c r="B31" s="35" t="s">
        <v>51</v>
      </c>
      <c r="C31" s="35"/>
      <c r="D31" s="35"/>
      <c r="E31" s="35"/>
    </row>
    <row r="32" customFormat="false" ht="27.75" hidden="false" customHeight="true" outlineLevel="0" collapsed="false">
      <c r="B32" s="35" t="s">
        <v>52</v>
      </c>
      <c r="C32" s="35"/>
      <c r="D32" s="35"/>
      <c r="E32" s="35"/>
    </row>
    <row r="33" customFormat="false" ht="27.75" hidden="false" customHeight="true" outlineLevel="0" collapsed="false">
      <c r="B33" s="35" t="s">
        <v>53</v>
      </c>
      <c r="C33" s="35"/>
      <c r="D33" s="35"/>
      <c r="E33" s="35"/>
    </row>
    <row r="34" customFormat="false" ht="15.75" hidden="false" customHeight="true" outlineLevel="0" collapsed="false">
      <c r="B34" s="35" t="s">
        <v>54</v>
      </c>
      <c r="C34" s="35"/>
      <c r="D34" s="35"/>
      <c r="E34" s="35"/>
    </row>
    <row r="35" customFormat="false" ht="15.75" hidden="false" customHeight="true" outlineLevel="0" collapsed="false">
      <c r="B35" s="35" t="s">
        <v>55</v>
      </c>
      <c r="C35" s="35"/>
      <c r="D35" s="35"/>
      <c r="E35" s="35"/>
    </row>
  </sheetData>
  <mergeCells count="19">
    <mergeCell ref="A1:F1"/>
    <mergeCell ref="A2:F2"/>
    <mergeCell ref="B4:E4"/>
    <mergeCell ref="B6:E6"/>
    <mergeCell ref="D7:E7"/>
    <mergeCell ref="D8:E8"/>
    <mergeCell ref="D9:E9"/>
    <mergeCell ref="B11:E11"/>
    <mergeCell ref="B21:E21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</mergeCells>
  <printOptions headings="false" gridLines="false" gridLinesSet="true" horizontalCentered="false" verticalCentered="false"/>
  <pageMargins left="0.45" right="0.45" top="0.5" bottom="0.55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&amp;C&amp;"Arial,Regular"&amp;8 &amp;K5b6b6eMiradore Experiences — Riyadh, KSA   | 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2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3" t="s">
        <v>56</v>
      </c>
      <c r="B1" s="13"/>
      <c r="C1" s="13"/>
      <c r="D1" s="13"/>
      <c r="E1" s="13"/>
      <c r="F1" s="13"/>
      <c r="G1" s="13"/>
      <c r="H1" s="13"/>
    </row>
    <row r="2" customFormat="false" ht="16.5" hidden="false" customHeight="true" outlineLevel="0" collapsed="false">
      <c r="A2" s="14" t="s">
        <v>57</v>
      </c>
      <c r="B2" s="14"/>
      <c r="C2" s="14"/>
      <c r="D2" s="14"/>
      <c r="E2" s="14"/>
      <c r="F2" s="14"/>
      <c r="G2" s="14"/>
      <c r="H2" s="14"/>
    </row>
    <row r="4" customFormat="false" ht="30" hidden="false" customHeight="true" outlineLevel="0" collapsed="false">
      <c r="A4" s="36" t="s">
        <v>58</v>
      </c>
      <c r="B4" s="36" t="s">
        <v>59</v>
      </c>
      <c r="C4" s="36" t="s">
        <v>60</v>
      </c>
      <c r="D4" s="36" t="s">
        <v>61</v>
      </c>
      <c r="E4" s="36" t="s">
        <v>62</v>
      </c>
      <c r="F4" s="36" t="s">
        <v>63</v>
      </c>
      <c r="G4" s="36" t="s">
        <v>64</v>
      </c>
      <c r="H4" s="36" t="s">
        <v>65</v>
      </c>
    </row>
    <row r="5" customFormat="false" ht="105.75" hidden="false" customHeight="true" outlineLevel="0" collapsed="false">
      <c r="A5" s="37" t="s">
        <v>66</v>
      </c>
      <c r="B5" s="38" t="s">
        <v>67</v>
      </c>
      <c r="C5" s="39" t="n">
        <v>1</v>
      </c>
      <c r="D5" s="39" t="s">
        <v>68</v>
      </c>
      <c r="E5" s="40" t="n">
        <v>325000</v>
      </c>
      <c r="F5" s="41" t="n">
        <f aca="false">ROUND(C5*E5,2)</f>
        <v>325000</v>
      </c>
      <c r="G5" s="42" t="n">
        <f aca="false">ROUND(E5*Summary!$C$9,0)</f>
        <v>24537500</v>
      </c>
      <c r="H5" s="42" t="n">
        <f aca="false">ROUND(F5*Summary!$C$9,0)</f>
        <v>24537500</v>
      </c>
    </row>
    <row r="6" customFormat="false" ht="30.75" hidden="false" customHeight="true" outlineLevel="0" collapsed="false">
      <c r="A6" s="43" t="s">
        <v>69</v>
      </c>
      <c r="B6" s="44" t="s">
        <v>70</v>
      </c>
      <c r="C6" s="45" t="n">
        <v>1</v>
      </c>
      <c r="D6" s="45" t="s">
        <v>71</v>
      </c>
      <c r="E6" s="46" t="n">
        <v>18500</v>
      </c>
      <c r="F6" s="47" t="n">
        <f aca="false">ROUND(C6*E6,2)</f>
        <v>18500</v>
      </c>
      <c r="G6" s="48" t="n">
        <f aca="false">ROUND(E6*Summary!$C$9,0)</f>
        <v>1396750</v>
      </c>
      <c r="H6" s="48" t="n">
        <f aca="false">ROUND(F6*Summary!$C$9,0)</f>
        <v>1396750</v>
      </c>
    </row>
    <row r="7" customFormat="false" ht="43.5" hidden="false" customHeight="true" outlineLevel="0" collapsed="false">
      <c r="A7" s="37" t="s">
        <v>72</v>
      </c>
      <c r="B7" s="38" t="s">
        <v>73</v>
      </c>
      <c r="C7" s="39" t="n">
        <v>1</v>
      </c>
      <c r="D7" s="39" t="s">
        <v>71</v>
      </c>
      <c r="E7" s="40" t="n">
        <v>12500</v>
      </c>
      <c r="F7" s="41" t="n">
        <f aca="false">ROUND(C7*E7,2)</f>
        <v>12500</v>
      </c>
      <c r="G7" s="42" t="n">
        <f aca="false">ROUND(E7*Summary!$C$9,0)</f>
        <v>943750</v>
      </c>
      <c r="H7" s="42" t="n">
        <f aca="false">ROUND(F7*Summary!$C$9,0)</f>
        <v>943750</v>
      </c>
    </row>
    <row r="8" customFormat="false" ht="43.5" hidden="false" customHeight="true" outlineLevel="0" collapsed="false">
      <c r="A8" s="43" t="s">
        <v>74</v>
      </c>
      <c r="B8" s="44" t="s">
        <v>75</v>
      </c>
      <c r="C8" s="45" t="n">
        <v>1</v>
      </c>
      <c r="D8" s="45" t="s">
        <v>40</v>
      </c>
      <c r="E8" s="46" t="n">
        <v>19500</v>
      </c>
      <c r="F8" s="47" t="n">
        <f aca="false">ROUND(C8*E8,2)</f>
        <v>19500</v>
      </c>
      <c r="G8" s="48" t="n">
        <f aca="false">ROUND(E8*Summary!$C$9,0)</f>
        <v>1472250</v>
      </c>
      <c r="H8" s="48" t="n">
        <f aca="false">ROUND(F8*Summary!$C$9,0)</f>
        <v>1472250</v>
      </c>
    </row>
    <row r="9" customFormat="false" ht="43.5" hidden="false" customHeight="true" outlineLevel="0" collapsed="false">
      <c r="A9" s="37" t="s">
        <v>76</v>
      </c>
      <c r="B9" s="38" t="s">
        <v>77</v>
      </c>
      <c r="C9" s="39" t="n">
        <v>1</v>
      </c>
      <c r="D9" s="39" t="s">
        <v>71</v>
      </c>
      <c r="E9" s="40" t="n">
        <v>10500</v>
      </c>
      <c r="F9" s="41" t="n">
        <f aca="false">ROUND(C9*E9,2)</f>
        <v>10500</v>
      </c>
      <c r="G9" s="42" t="n">
        <f aca="false">ROUND(E9*Summary!$C$9,0)</f>
        <v>792750</v>
      </c>
      <c r="H9" s="42" t="n">
        <f aca="false">ROUND(F9*Summary!$C$9,0)</f>
        <v>792750</v>
      </c>
    </row>
    <row r="10" customFormat="false" ht="30.75" hidden="false" customHeight="true" outlineLevel="0" collapsed="false">
      <c r="A10" s="43" t="s">
        <v>78</v>
      </c>
      <c r="B10" s="44" t="s">
        <v>79</v>
      </c>
      <c r="C10" s="45" t="n">
        <v>1</v>
      </c>
      <c r="D10" s="45" t="s">
        <v>71</v>
      </c>
      <c r="E10" s="46" t="n">
        <v>13500</v>
      </c>
      <c r="F10" s="47" t="n">
        <f aca="false">ROUND(C10*E10,2)</f>
        <v>13500</v>
      </c>
      <c r="G10" s="48" t="n">
        <f aca="false">ROUND(E10*Summary!$C$9,0)</f>
        <v>1019250</v>
      </c>
      <c r="H10" s="48" t="n">
        <f aca="false">ROUND(F10*Summary!$C$9,0)</f>
        <v>1019250</v>
      </c>
    </row>
    <row r="11" customFormat="false" ht="43.5" hidden="false" customHeight="true" outlineLevel="0" collapsed="false">
      <c r="A11" s="37" t="s">
        <v>80</v>
      </c>
      <c r="B11" s="38" t="s">
        <v>81</v>
      </c>
      <c r="C11" s="39" t="n">
        <v>4</v>
      </c>
      <c r="D11" s="39" t="s">
        <v>82</v>
      </c>
      <c r="E11" s="40" t="n">
        <v>1350</v>
      </c>
      <c r="F11" s="41" t="n">
        <f aca="false">ROUND(C11*E11,2)</f>
        <v>5400</v>
      </c>
      <c r="G11" s="42" t="n">
        <f aca="false">ROUND(E11*Summary!$C$9,0)</f>
        <v>101925</v>
      </c>
      <c r="H11" s="42" t="n">
        <f aca="false">ROUND(F11*Summary!$C$9,0)</f>
        <v>407700</v>
      </c>
    </row>
    <row r="12" customFormat="false" ht="68.25" hidden="false" customHeight="true" outlineLevel="0" collapsed="false">
      <c r="A12" s="43" t="s">
        <v>83</v>
      </c>
      <c r="B12" s="44" t="s">
        <v>84</v>
      </c>
      <c r="C12" s="45" t="n">
        <v>1</v>
      </c>
      <c r="D12" s="45" t="s">
        <v>71</v>
      </c>
      <c r="E12" s="46" t="n">
        <v>26500</v>
      </c>
      <c r="F12" s="47" t="n">
        <f aca="false">ROUND(C12*E12,2)</f>
        <v>26500</v>
      </c>
      <c r="G12" s="48" t="n">
        <f aca="false">ROUND(E12*Summary!$C$9,0)</f>
        <v>2000750</v>
      </c>
      <c r="H12" s="48" t="n">
        <f aca="false">ROUND(F12*Summary!$C$9,0)</f>
        <v>2000750</v>
      </c>
    </row>
    <row r="13" customFormat="false" ht="43.5" hidden="false" customHeight="true" outlineLevel="0" collapsed="false">
      <c r="A13" s="37" t="s">
        <v>85</v>
      </c>
      <c r="B13" s="38" t="s">
        <v>86</v>
      </c>
      <c r="C13" s="39" t="n">
        <v>1</v>
      </c>
      <c r="D13" s="39" t="s">
        <v>71</v>
      </c>
      <c r="E13" s="40" t="n">
        <v>34500</v>
      </c>
      <c r="F13" s="41" t="n">
        <f aca="false">ROUND(C13*E13,2)</f>
        <v>34500</v>
      </c>
      <c r="G13" s="42" t="n">
        <f aca="false">ROUND(E13*Summary!$C$9,0)</f>
        <v>2604750</v>
      </c>
      <c r="H13" s="42" t="n">
        <f aca="false">ROUND(F13*Summary!$C$9,0)</f>
        <v>2604750</v>
      </c>
    </row>
    <row r="14" customFormat="false" ht="30.75" hidden="false" customHeight="true" outlineLevel="0" collapsed="false">
      <c r="A14" s="43" t="s">
        <v>87</v>
      </c>
      <c r="B14" s="44" t="s">
        <v>88</v>
      </c>
      <c r="C14" s="45" t="n">
        <v>4</v>
      </c>
      <c r="D14" s="45" t="s">
        <v>82</v>
      </c>
      <c r="E14" s="46" t="n">
        <v>3150</v>
      </c>
      <c r="F14" s="47" t="n">
        <f aca="false">ROUND(C14*E14,2)</f>
        <v>12600</v>
      </c>
      <c r="G14" s="48" t="n">
        <f aca="false">ROUND(E14*Summary!$C$9,0)</f>
        <v>237825</v>
      </c>
      <c r="H14" s="48" t="n">
        <f aca="false">ROUND(F14*Summary!$C$9,0)</f>
        <v>951300</v>
      </c>
    </row>
    <row r="15" customFormat="false" ht="43.5" hidden="false" customHeight="true" outlineLevel="0" collapsed="false">
      <c r="A15" s="37" t="s">
        <v>89</v>
      </c>
      <c r="B15" s="38" t="s">
        <v>90</v>
      </c>
      <c r="C15" s="39" t="n">
        <v>1</v>
      </c>
      <c r="D15" s="39" t="s">
        <v>71</v>
      </c>
      <c r="E15" s="40" t="n">
        <v>5000</v>
      </c>
      <c r="F15" s="41" t="n">
        <f aca="false">ROUND(C15*E15,2)</f>
        <v>5000</v>
      </c>
      <c r="G15" s="42" t="n">
        <f aca="false">ROUND(E15*Summary!$C$9,0)</f>
        <v>377500</v>
      </c>
      <c r="H15" s="42" t="n">
        <f aca="false">ROUND(F15*Summary!$C$9,0)</f>
        <v>377500</v>
      </c>
    </row>
    <row r="16" customFormat="false" ht="55.5" hidden="false" customHeight="true" outlineLevel="0" collapsed="false">
      <c r="A16" s="43" t="s">
        <v>91</v>
      </c>
      <c r="B16" s="44" t="s">
        <v>92</v>
      </c>
      <c r="C16" s="45" t="s">
        <v>93</v>
      </c>
      <c r="D16" s="45" t="s">
        <v>93</v>
      </c>
      <c r="E16" s="49"/>
      <c r="F16" s="50" t="s">
        <v>94</v>
      </c>
      <c r="G16" s="51" t="s">
        <v>93</v>
      </c>
      <c r="H16" s="51" t="s">
        <v>93</v>
      </c>
    </row>
    <row r="17" customFormat="false" ht="43.5" hidden="false" customHeight="true" outlineLevel="0" collapsed="false">
      <c r="A17" s="37" t="s">
        <v>95</v>
      </c>
      <c r="B17" s="38" t="s">
        <v>96</v>
      </c>
      <c r="C17" s="39" t="n">
        <v>1</v>
      </c>
      <c r="D17" s="39" t="s">
        <v>71</v>
      </c>
      <c r="E17" s="40" t="n">
        <v>5500</v>
      </c>
      <c r="F17" s="41" t="n">
        <f aca="false">ROUND(C17*E17,2)</f>
        <v>5500</v>
      </c>
      <c r="G17" s="42" t="n">
        <f aca="false">ROUND(E17*Summary!$C$9,0)</f>
        <v>415250</v>
      </c>
      <c r="H17" s="42" t="n">
        <f aca="false">ROUND(F17*Summary!$C$9,0)</f>
        <v>415250</v>
      </c>
    </row>
    <row r="18" customFormat="false" ht="93" hidden="false" customHeight="true" outlineLevel="0" collapsed="false">
      <c r="A18" s="43" t="s">
        <v>97</v>
      </c>
      <c r="B18" s="44" t="s">
        <v>98</v>
      </c>
      <c r="C18" s="45" t="n">
        <v>1</v>
      </c>
      <c r="D18" s="45" t="s">
        <v>71</v>
      </c>
      <c r="E18" s="46" t="n">
        <v>11500</v>
      </c>
      <c r="F18" s="47" t="n">
        <f aca="false">ROUND(C18*E18,2)</f>
        <v>11500</v>
      </c>
      <c r="G18" s="48" t="n">
        <f aca="false">ROUND(E18*Summary!$C$9,0)</f>
        <v>868250</v>
      </c>
      <c r="H18" s="48" t="n">
        <f aca="false">ROUND(F18*Summary!$C$9,0)</f>
        <v>868250</v>
      </c>
    </row>
    <row r="19" customFormat="false" ht="30.75" hidden="false" customHeight="true" outlineLevel="0" collapsed="false">
      <c r="A19" s="37" t="s">
        <v>99</v>
      </c>
      <c r="B19" s="38" t="s">
        <v>100</v>
      </c>
      <c r="C19" s="39" t="n">
        <v>10</v>
      </c>
      <c r="D19" s="39" t="s">
        <v>101</v>
      </c>
      <c r="E19" s="40" t="n">
        <v>950</v>
      </c>
      <c r="F19" s="41" t="n">
        <f aca="false">ROUND(C19*E19,2)</f>
        <v>9500</v>
      </c>
      <c r="G19" s="42" t="n">
        <f aca="false">ROUND(E19*Summary!$C$9,0)</f>
        <v>71725</v>
      </c>
      <c r="H19" s="42" t="n">
        <f aca="false">ROUND(F19*Summary!$C$9,0)</f>
        <v>717250</v>
      </c>
    </row>
    <row r="20" customFormat="false" ht="18" hidden="false" customHeight="true" outlineLevel="0" collapsed="false">
      <c r="A20" s="52" t="s">
        <v>102</v>
      </c>
      <c r="B20" s="52"/>
      <c r="C20" s="52"/>
      <c r="D20" s="52"/>
      <c r="E20" s="52"/>
      <c r="F20" s="53" t="n">
        <f aca="false">SUM(F5:F19)</f>
        <v>510000</v>
      </c>
      <c r="G20" s="54"/>
      <c r="H20" s="55" t="n">
        <f aca="false">ROUND(F20*Summary!$C$9,0)</f>
        <v>38505000</v>
      </c>
    </row>
    <row r="21" customFormat="false" ht="16.5" hidden="false" customHeight="true" outlineLevel="0" collapsed="false">
      <c r="A21" s="56" t="s">
        <v>103</v>
      </c>
      <c r="B21" s="56"/>
      <c r="C21" s="56"/>
      <c r="D21" s="56"/>
      <c r="E21" s="56"/>
      <c r="F21" s="57" t="n">
        <f aca="false">ROUND(F20*Summary!$C$8,2)</f>
        <v>61200</v>
      </c>
      <c r="G21" s="58"/>
      <c r="H21" s="42" t="n">
        <f aca="false">ROUND(F21*Summary!$C$9,0)</f>
        <v>4620600</v>
      </c>
    </row>
    <row r="22" customFormat="false" ht="18" hidden="false" customHeight="true" outlineLevel="0" collapsed="false">
      <c r="A22" s="52" t="s">
        <v>35</v>
      </c>
      <c r="B22" s="52"/>
      <c r="C22" s="52"/>
      <c r="D22" s="52"/>
      <c r="E22" s="52"/>
      <c r="F22" s="53" t="n">
        <f aca="false">F20+F21</f>
        <v>571200</v>
      </c>
      <c r="G22" s="54"/>
      <c r="H22" s="55" t="n">
        <f aca="false">ROUND(F22*Summary!$C$9,0)</f>
        <v>43125600</v>
      </c>
    </row>
    <row r="23" customFormat="false" ht="16.5" hidden="false" customHeight="true" outlineLevel="0" collapsed="false">
      <c r="A23" s="56" t="s">
        <v>104</v>
      </c>
      <c r="B23" s="56"/>
      <c r="C23" s="56"/>
      <c r="D23" s="56"/>
      <c r="E23" s="56"/>
      <c r="F23" s="57" t="n">
        <f aca="false">ROUND(F22*Summary!$C$7,2)</f>
        <v>85680</v>
      </c>
      <c r="G23" s="58"/>
      <c r="H23" s="42" t="n">
        <f aca="false">ROUND(F23*Summary!$C$9,0)</f>
        <v>6468840</v>
      </c>
    </row>
    <row r="24" customFormat="false" ht="21.75" hidden="false" customHeight="true" outlineLevel="0" collapsed="false">
      <c r="A24" s="59" t="s">
        <v>105</v>
      </c>
      <c r="B24" s="59"/>
      <c r="C24" s="59"/>
      <c r="D24" s="59"/>
      <c r="E24" s="59"/>
      <c r="F24" s="31" t="n">
        <f aca="false">F22+F23</f>
        <v>656880</v>
      </c>
      <c r="G24" s="60"/>
      <c r="H24" s="61" t="n">
        <f aca="false">ROUND(F24*Summary!$C$9,0)</f>
        <v>49594440</v>
      </c>
    </row>
    <row r="27" customFormat="false" ht="24.75" hidden="false" customHeight="true" outlineLevel="0" collapsed="false">
      <c r="A27" s="62" t="s">
        <v>106</v>
      </c>
      <c r="B27" s="62"/>
      <c r="C27" s="62"/>
      <c r="D27" s="62"/>
      <c r="E27" s="62"/>
      <c r="F27" s="62"/>
      <c r="G27" s="62"/>
      <c r="H27" s="62"/>
    </row>
    <row r="28" customFormat="false" ht="24.75" hidden="false" customHeight="true" outlineLevel="0" collapsed="false">
      <c r="A28" s="62" t="s">
        <v>107</v>
      </c>
      <c r="B28" s="62"/>
      <c r="C28" s="62"/>
      <c r="D28" s="62"/>
      <c r="E28" s="62"/>
      <c r="F28" s="62"/>
      <c r="G28" s="62"/>
      <c r="H28" s="62"/>
    </row>
    <row r="29" customFormat="false" ht="13.5" hidden="false" customHeight="true" outlineLevel="0" collapsed="false">
      <c r="A29" s="62" t="s">
        <v>108</v>
      </c>
      <c r="B29" s="62"/>
      <c r="C29" s="62"/>
      <c r="D29" s="62"/>
      <c r="E29" s="62"/>
      <c r="F29" s="62"/>
      <c r="G29" s="62"/>
      <c r="H29" s="62"/>
    </row>
  </sheetData>
  <mergeCells count="10">
    <mergeCell ref="A1:H1"/>
    <mergeCell ref="A2:H2"/>
    <mergeCell ref="A20:E20"/>
    <mergeCell ref="A21:E21"/>
    <mergeCell ref="A22:E22"/>
    <mergeCell ref="A23:E23"/>
    <mergeCell ref="A24:E24"/>
    <mergeCell ref="A27:H27"/>
    <mergeCell ref="A28:H28"/>
    <mergeCell ref="A29:H29"/>
  </mergeCells>
  <printOptions headings="false" gridLines="false" gridLinesSet="true" horizontalCentered="false" verticalCentered="false"/>
  <pageMargins left="0.45" right="0.45" top="0.5" bottom="0.5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&amp;C&amp;"Arial,Regular"&amp;8 &amp;K5b6b6eMiradore Experiences — Riyadh, KSA   | 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2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7" min="6" style="0" width="14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3" t="s">
        <v>109</v>
      </c>
      <c r="B1" s="13"/>
      <c r="C1" s="13"/>
      <c r="D1" s="13"/>
      <c r="E1" s="13"/>
      <c r="F1" s="13"/>
      <c r="G1" s="13"/>
      <c r="H1" s="13"/>
    </row>
    <row r="2" customFormat="false" ht="16.5" hidden="false" customHeight="true" outlineLevel="0" collapsed="false">
      <c r="A2" s="14" t="s">
        <v>110</v>
      </c>
      <c r="B2" s="14"/>
      <c r="C2" s="14"/>
      <c r="D2" s="14"/>
      <c r="E2" s="14"/>
      <c r="F2" s="14"/>
      <c r="G2" s="14"/>
      <c r="H2" s="14"/>
    </row>
    <row r="4" customFormat="false" ht="30" hidden="false" customHeight="true" outlineLevel="0" collapsed="false">
      <c r="A4" s="36" t="s">
        <v>58</v>
      </c>
      <c r="B4" s="36" t="s">
        <v>59</v>
      </c>
      <c r="C4" s="36" t="s">
        <v>60</v>
      </c>
      <c r="D4" s="36" t="s">
        <v>61</v>
      </c>
      <c r="E4" s="36" t="s">
        <v>62</v>
      </c>
      <c r="F4" s="36" t="s">
        <v>63</v>
      </c>
      <c r="G4" s="36" t="s">
        <v>64</v>
      </c>
      <c r="H4" s="36" t="s">
        <v>65</v>
      </c>
    </row>
    <row r="5" customFormat="false" ht="343.5" hidden="false" customHeight="true" outlineLevel="0" collapsed="false">
      <c r="A5" s="37" t="s">
        <v>111</v>
      </c>
      <c r="B5" s="38" t="s">
        <v>112</v>
      </c>
      <c r="C5" s="39" t="n">
        <v>1</v>
      </c>
      <c r="D5" s="39" t="s">
        <v>68</v>
      </c>
      <c r="E5" s="40" t="n">
        <v>232000</v>
      </c>
      <c r="F5" s="41" t="n">
        <f aca="false">ROUND(C5*E5,2)</f>
        <v>232000</v>
      </c>
      <c r="G5" s="42" t="n">
        <f aca="false">ROUND(E5*Summary!$C$9,0)</f>
        <v>17516000</v>
      </c>
      <c r="H5" s="42" t="n">
        <f aca="false">ROUND(F5*Summary!$C$9,0)</f>
        <v>17516000</v>
      </c>
    </row>
    <row r="6" customFormat="false" ht="30.75" hidden="false" customHeight="true" outlineLevel="0" collapsed="false">
      <c r="A6" s="43" t="s">
        <v>113</v>
      </c>
      <c r="B6" s="44" t="s">
        <v>114</v>
      </c>
      <c r="C6" s="45" t="n">
        <v>4</v>
      </c>
      <c r="D6" s="45" t="s">
        <v>115</v>
      </c>
      <c r="E6" s="46" t="n">
        <v>4250</v>
      </c>
      <c r="F6" s="47" t="n">
        <f aca="false">ROUND(C6*E6,2)</f>
        <v>17000</v>
      </c>
      <c r="G6" s="48" t="n">
        <f aca="false">ROUND(E6*Summary!$C$9,0)</f>
        <v>320875</v>
      </c>
      <c r="H6" s="48" t="n">
        <f aca="false">ROUND(F6*Summary!$C$9,0)</f>
        <v>1283500</v>
      </c>
    </row>
    <row r="7" customFormat="false" ht="55.5" hidden="false" customHeight="true" outlineLevel="0" collapsed="false">
      <c r="A7" s="37" t="s">
        <v>116</v>
      </c>
      <c r="B7" s="38" t="s">
        <v>117</v>
      </c>
      <c r="C7" s="39" t="n">
        <v>4</v>
      </c>
      <c r="D7" s="39" t="s">
        <v>115</v>
      </c>
      <c r="E7" s="40" t="n">
        <v>4800</v>
      </c>
      <c r="F7" s="41" t="n">
        <f aca="false">ROUND(C7*E7,2)</f>
        <v>19200</v>
      </c>
      <c r="G7" s="42" t="n">
        <f aca="false">ROUND(E7*Summary!$C$9,0)</f>
        <v>362400</v>
      </c>
      <c r="H7" s="42" t="n">
        <f aca="false">ROUND(F7*Summary!$C$9,0)</f>
        <v>1449600</v>
      </c>
    </row>
    <row r="8" customFormat="false" ht="55.5" hidden="false" customHeight="true" outlineLevel="0" collapsed="false">
      <c r="A8" s="43" t="s">
        <v>118</v>
      </c>
      <c r="B8" s="44" t="s">
        <v>119</v>
      </c>
      <c r="C8" s="45" t="n">
        <v>880</v>
      </c>
      <c r="D8" s="45" t="s">
        <v>120</v>
      </c>
      <c r="E8" s="63" t="n">
        <v>3.5</v>
      </c>
      <c r="F8" s="47" t="n">
        <f aca="false">ROUND(C8*E8,2)</f>
        <v>3080</v>
      </c>
      <c r="G8" s="48" t="n">
        <f aca="false">ROUND(E8*Summary!$C$9,0)</f>
        <v>264</v>
      </c>
      <c r="H8" s="48" t="n">
        <f aca="false">ROUND(F8*Summary!$C$9,0)</f>
        <v>232540</v>
      </c>
    </row>
    <row r="9" customFormat="false" ht="55.5" hidden="false" customHeight="true" outlineLevel="0" collapsed="false">
      <c r="A9" s="37" t="s">
        <v>121</v>
      </c>
      <c r="B9" s="38" t="s">
        <v>122</v>
      </c>
      <c r="C9" s="39" t="n">
        <v>4</v>
      </c>
      <c r="D9" s="39" t="s">
        <v>115</v>
      </c>
      <c r="E9" s="40" t="n">
        <v>1850</v>
      </c>
      <c r="F9" s="41" t="n">
        <f aca="false">ROUND(C9*E9,2)</f>
        <v>7400</v>
      </c>
      <c r="G9" s="42" t="n">
        <f aca="false">ROUND(E9*Summary!$C$9,0)</f>
        <v>139675</v>
      </c>
      <c r="H9" s="42" t="n">
        <f aca="false">ROUND(F9*Summary!$C$9,0)</f>
        <v>558700</v>
      </c>
    </row>
    <row r="10" customFormat="false" ht="105.75" hidden="false" customHeight="true" outlineLevel="0" collapsed="false">
      <c r="A10" s="43" t="s">
        <v>123</v>
      </c>
      <c r="B10" s="44" t="s">
        <v>124</v>
      </c>
      <c r="C10" s="45" t="n">
        <v>4</v>
      </c>
      <c r="D10" s="45" t="s">
        <v>115</v>
      </c>
      <c r="E10" s="46" t="n">
        <v>9750</v>
      </c>
      <c r="F10" s="47" t="n">
        <f aca="false">ROUND(C10*E10,2)</f>
        <v>39000</v>
      </c>
      <c r="G10" s="48" t="n">
        <f aca="false">ROUND(E10*Summary!$C$9,0)</f>
        <v>736125</v>
      </c>
      <c r="H10" s="48" t="n">
        <f aca="false">ROUND(F10*Summary!$C$9,0)</f>
        <v>2944500</v>
      </c>
    </row>
    <row r="11" customFormat="false" ht="18" hidden="false" customHeight="true" outlineLevel="0" collapsed="false">
      <c r="A11" s="52" t="s">
        <v>102</v>
      </c>
      <c r="B11" s="52"/>
      <c r="C11" s="52"/>
      <c r="D11" s="52"/>
      <c r="E11" s="52"/>
      <c r="F11" s="53" t="n">
        <f aca="false">SUM(F5:F10)</f>
        <v>317680</v>
      </c>
      <c r="G11" s="54"/>
      <c r="H11" s="55" t="n">
        <f aca="false">ROUND(F11*Summary!$C$9,0)</f>
        <v>23984840</v>
      </c>
    </row>
    <row r="12" customFormat="false" ht="16.5" hidden="false" customHeight="true" outlineLevel="0" collapsed="false">
      <c r="A12" s="56" t="s">
        <v>103</v>
      </c>
      <c r="B12" s="56"/>
      <c r="C12" s="56"/>
      <c r="D12" s="56"/>
      <c r="E12" s="56"/>
      <c r="F12" s="57" t="n">
        <f aca="false">ROUND(F11*Summary!$C$8,2)</f>
        <v>38121.6</v>
      </c>
      <c r="G12" s="58"/>
      <c r="H12" s="42" t="n">
        <f aca="false">ROUND(F12*Summary!$C$9,0)</f>
        <v>2878181</v>
      </c>
    </row>
    <row r="13" customFormat="false" ht="18" hidden="false" customHeight="true" outlineLevel="0" collapsed="false">
      <c r="A13" s="52" t="s">
        <v>35</v>
      </c>
      <c r="B13" s="52"/>
      <c r="C13" s="52"/>
      <c r="D13" s="52"/>
      <c r="E13" s="52"/>
      <c r="F13" s="53" t="n">
        <f aca="false">F11+F12</f>
        <v>355801.6</v>
      </c>
      <c r="G13" s="54"/>
      <c r="H13" s="55" t="n">
        <f aca="false">ROUND(F13*Summary!$C$9,0)</f>
        <v>26863021</v>
      </c>
    </row>
    <row r="14" customFormat="false" ht="16.5" hidden="false" customHeight="true" outlineLevel="0" collapsed="false">
      <c r="A14" s="56" t="s">
        <v>104</v>
      </c>
      <c r="B14" s="56"/>
      <c r="C14" s="56"/>
      <c r="D14" s="56"/>
      <c r="E14" s="56"/>
      <c r="F14" s="57" t="n">
        <f aca="false">ROUND(F13*Summary!$C$7,2)</f>
        <v>53370.24</v>
      </c>
      <c r="G14" s="58"/>
      <c r="H14" s="42" t="n">
        <f aca="false">ROUND(F14*Summary!$C$9,0)</f>
        <v>4029453</v>
      </c>
    </row>
    <row r="15" customFormat="false" ht="21.75" hidden="false" customHeight="true" outlineLevel="0" collapsed="false">
      <c r="A15" s="59" t="s">
        <v>125</v>
      </c>
      <c r="B15" s="59"/>
      <c r="C15" s="59"/>
      <c r="D15" s="59"/>
      <c r="E15" s="59"/>
      <c r="F15" s="31" t="n">
        <f aca="false">F13+F14</f>
        <v>409171.84</v>
      </c>
      <c r="G15" s="60"/>
      <c r="H15" s="61" t="n">
        <f aca="false">ROUND(F15*Summary!$C$9,0)</f>
        <v>30892474</v>
      </c>
    </row>
    <row r="17" customFormat="false" ht="36" hidden="false" customHeight="true" outlineLevel="0" collapsed="false">
      <c r="A17" s="62" t="s">
        <v>126</v>
      </c>
      <c r="B17" s="62"/>
      <c r="C17" s="62"/>
      <c r="D17" s="62"/>
      <c r="E17" s="62"/>
      <c r="F17" s="62"/>
      <c r="G17" s="62"/>
      <c r="H17" s="62"/>
    </row>
    <row r="18" customFormat="false" ht="24.75" hidden="false" customHeight="true" outlineLevel="0" collapsed="false">
      <c r="A18" s="62" t="s">
        <v>127</v>
      </c>
      <c r="B18" s="62"/>
      <c r="C18" s="62"/>
      <c r="D18" s="62"/>
      <c r="E18" s="62"/>
      <c r="F18" s="62"/>
      <c r="G18" s="62"/>
      <c r="H18" s="62"/>
    </row>
    <row r="19" customFormat="false" ht="13.5" hidden="false" customHeight="true" outlineLevel="0" collapsed="false">
      <c r="A19" s="62" t="s">
        <v>128</v>
      </c>
      <c r="B19" s="62"/>
      <c r="C19" s="62"/>
      <c r="D19" s="62"/>
      <c r="E19" s="62"/>
      <c r="F19" s="62"/>
      <c r="G19" s="62"/>
      <c r="H19" s="62"/>
    </row>
  </sheetData>
  <mergeCells count="10">
    <mergeCell ref="A1:H1"/>
    <mergeCell ref="A2:H2"/>
    <mergeCell ref="A11:E11"/>
    <mergeCell ref="A12:E12"/>
    <mergeCell ref="A13:E13"/>
    <mergeCell ref="A14:E14"/>
    <mergeCell ref="A15:E15"/>
    <mergeCell ref="A17:H17"/>
    <mergeCell ref="A18:H18"/>
    <mergeCell ref="A19:H19"/>
  </mergeCells>
  <printOptions headings="false" gridLines="false" gridLinesSet="true" horizontalCentered="false" verticalCentered="false"/>
  <pageMargins left="0.45" right="0.45" top="0.5" bottom="0.5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&amp;C&amp;"Arial,Regular"&amp;8 &amp;K5b6b6eMiradore Experiences — Riyadh, KSA   | 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6"/>
    <col collapsed="false" customWidth="true" hidden="false" outlineLevel="0" max="3" min="3" style="0" width="34"/>
  </cols>
  <sheetData>
    <row r="1" customFormat="false" ht="30" hidden="false" customHeight="true" outlineLevel="0" collapsed="false">
      <c r="A1" s="13" t="s">
        <v>129</v>
      </c>
      <c r="B1" s="13"/>
      <c r="C1" s="13"/>
    </row>
    <row r="2" customFormat="false" ht="16.5" hidden="false" customHeight="true" outlineLevel="0" collapsed="false">
      <c r="A2" s="14" t="s">
        <v>130</v>
      </c>
      <c r="B2" s="14"/>
      <c r="C2" s="14"/>
    </row>
    <row r="4" customFormat="false" ht="19.5" hidden="false" customHeight="true" outlineLevel="0" collapsed="false">
      <c r="A4" s="23" t="s">
        <v>131</v>
      </c>
      <c r="B4" s="23" t="s">
        <v>132</v>
      </c>
      <c r="C4" s="23" t="s">
        <v>133</v>
      </c>
    </row>
    <row r="5" customFormat="false" ht="30" hidden="false" customHeight="true" outlineLevel="0" collapsed="false">
      <c r="A5" s="64" t="s">
        <v>134</v>
      </c>
      <c r="B5" s="38" t="s">
        <v>135</v>
      </c>
      <c r="C5" s="65" t="s">
        <v>136</v>
      </c>
    </row>
    <row r="6" customFormat="false" ht="42" hidden="false" customHeight="true" outlineLevel="0" collapsed="false">
      <c r="A6" s="66" t="s">
        <v>137</v>
      </c>
      <c r="B6" s="44" t="s">
        <v>138</v>
      </c>
      <c r="C6" s="67" t="s">
        <v>139</v>
      </c>
    </row>
    <row r="7" customFormat="false" ht="30" hidden="false" customHeight="true" outlineLevel="0" collapsed="false">
      <c r="A7" s="64" t="s">
        <v>140</v>
      </c>
      <c r="B7" s="38" t="s">
        <v>141</v>
      </c>
      <c r="C7" s="65" t="s">
        <v>142</v>
      </c>
    </row>
    <row r="8" customFormat="false" ht="30" hidden="false" customHeight="true" outlineLevel="0" collapsed="false">
      <c r="A8" s="66" t="s">
        <v>143</v>
      </c>
      <c r="B8" s="44" t="s">
        <v>144</v>
      </c>
      <c r="C8" s="67" t="s">
        <v>145</v>
      </c>
    </row>
    <row r="9" customFormat="false" ht="30" hidden="false" customHeight="true" outlineLevel="0" collapsed="false">
      <c r="A9" s="64" t="s">
        <v>146</v>
      </c>
      <c r="B9" s="38" t="s">
        <v>147</v>
      </c>
      <c r="C9" s="65" t="s">
        <v>148</v>
      </c>
    </row>
    <row r="10" customFormat="false" ht="30" hidden="false" customHeight="true" outlineLevel="0" collapsed="false">
      <c r="A10" s="66" t="s">
        <v>149</v>
      </c>
      <c r="B10" s="44" t="s">
        <v>150</v>
      </c>
      <c r="C10" s="67" t="s">
        <v>151</v>
      </c>
    </row>
    <row r="11" customFormat="false" ht="30" hidden="false" customHeight="true" outlineLevel="0" collapsed="false">
      <c r="A11" s="64" t="s">
        <v>152</v>
      </c>
      <c r="B11" s="38" t="s">
        <v>153</v>
      </c>
      <c r="C11" s="65" t="s">
        <v>154</v>
      </c>
    </row>
    <row r="12" customFormat="false" ht="42" hidden="false" customHeight="true" outlineLevel="0" collapsed="false">
      <c r="A12" s="66" t="s">
        <v>155</v>
      </c>
      <c r="B12" s="44" t="s">
        <v>156</v>
      </c>
      <c r="C12" s="67" t="s">
        <v>157</v>
      </c>
    </row>
    <row r="13" customFormat="false" ht="30" hidden="false" customHeight="true" outlineLevel="0" collapsed="false">
      <c r="A13" s="64" t="s">
        <v>158</v>
      </c>
      <c r="B13" s="38" t="s">
        <v>159</v>
      </c>
      <c r="C13" s="65" t="s">
        <v>160</v>
      </c>
    </row>
    <row r="14" customFormat="false" ht="30" hidden="false" customHeight="true" outlineLevel="0" collapsed="false">
      <c r="A14" s="66" t="s">
        <v>161</v>
      </c>
      <c r="B14" s="44" t="s">
        <v>162</v>
      </c>
      <c r="C14" s="67" t="s">
        <v>160</v>
      </c>
    </row>
    <row r="15" customFormat="false" ht="30" hidden="false" customHeight="true" outlineLevel="0" collapsed="false">
      <c r="A15" s="64" t="s">
        <v>163</v>
      </c>
      <c r="B15" s="38" t="s">
        <v>164</v>
      </c>
      <c r="C15" s="65" t="s">
        <v>157</v>
      </c>
    </row>
    <row r="17" customFormat="false" ht="15" hidden="false" customHeight="true" outlineLevel="0" collapsed="false">
      <c r="A17" s="68" t="s">
        <v>165</v>
      </c>
      <c r="B17" s="68"/>
      <c r="C17" s="68"/>
    </row>
  </sheetData>
  <mergeCells count="3">
    <mergeCell ref="A1:C1"/>
    <mergeCell ref="A2:C2"/>
    <mergeCell ref="A17:C17"/>
  </mergeCells>
  <printOptions headings="false" gridLines="false" gridLinesSet="true" horizontalCentered="false" verticalCentered="false"/>
  <pageMargins left="0.45" right="0.45" top="0.5" bottom="0.5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&amp;C&amp;"Arial,Regular"&amp;8 &amp;K5b6b6eMiradore Experiences — Riyadh, KSA   | 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4" min="3" style="0" width="15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42"/>
  </cols>
  <sheetData>
    <row r="1" customFormat="false" ht="30" hidden="false" customHeight="true" outlineLevel="0" collapsed="false">
      <c r="A1" s="13" t="s">
        <v>166</v>
      </c>
      <c r="B1" s="13"/>
      <c r="C1" s="13"/>
      <c r="D1" s="13"/>
      <c r="E1" s="13"/>
      <c r="F1" s="13"/>
      <c r="G1" s="13"/>
    </row>
    <row r="2" customFormat="false" ht="16.5" hidden="false" customHeight="true" outlineLevel="0" collapsed="false">
      <c r="A2" s="14" t="s">
        <v>167</v>
      </c>
      <c r="B2" s="14"/>
      <c r="C2" s="14"/>
      <c r="D2" s="14"/>
      <c r="E2" s="14"/>
      <c r="F2" s="14"/>
      <c r="G2" s="14"/>
    </row>
    <row r="4" customFormat="false" ht="15" hidden="false" customHeight="false" outlineLevel="0" collapsed="false">
      <c r="A4" s="23" t="s">
        <v>168</v>
      </c>
      <c r="B4" s="23" t="s">
        <v>169</v>
      </c>
      <c r="C4" s="23" t="s">
        <v>170</v>
      </c>
      <c r="D4" s="23" t="s">
        <v>171</v>
      </c>
      <c r="E4" s="23" t="s">
        <v>172</v>
      </c>
      <c r="F4" s="23" t="s">
        <v>173</v>
      </c>
      <c r="G4" s="23" t="s">
        <v>174</v>
      </c>
    </row>
    <row r="5" customFormat="false" ht="37.5" hidden="false" customHeight="true" outlineLevel="0" collapsed="false">
      <c r="A5" s="69" t="s">
        <v>66</v>
      </c>
      <c r="B5" s="70" t="s">
        <v>175</v>
      </c>
      <c r="C5" s="71" t="n">
        <f aca="false">'Lot A - Forum'!F5</f>
        <v>325000</v>
      </c>
      <c r="D5" s="72" t="n">
        <v>325000</v>
      </c>
      <c r="E5" s="71" t="n">
        <f aca="false">C5-D5</f>
        <v>0</v>
      </c>
      <c r="F5" s="73" t="n">
        <f aca="false">IF(D5=0,"n/a",C5/D5-1)</f>
        <v>0</v>
      </c>
      <c r="G5" s="26" t="s">
        <v>176</v>
      </c>
    </row>
    <row r="6" customFormat="false" ht="15.75" hidden="false" customHeight="true" outlineLevel="0" collapsed="false">
      <c r="A6" s="69" t="s">
        <v>69</v>
      </c>
      <c r="B6" s="70" t="s">
        <v>177</v>
      </c>
      <c r="C6" s="71" t="n">
        <f aca="false">'Lot A - Forum'!F6</f>
        <v>18500</v>
      </c>
      <c r="D6" s="72" t="n">
        <v>10000</v>
      </c>
      <c r="E6" s="71" t="n">
        <f aca="false">C6-D6</f>
        <v>8500</v>
      </c>
      <c r="F6" s="73" t="n">
        <f aca="false">IF(D6=0,"n/a",C6/D6-1)</f>
        <v>0.85</v>
      </c>
      <c r="G6" s="26" t="s">
        <v>178</v>
      </c>
    </row>
    <row r="7" customFormat="false" ht="27" hidden="false" customHeight="true" outlineLevel="0" collapsed="false">
      <c r="A7" s="69" t="s">
        <v>72</v>
      </c>
      <c r="B7" s="70" t="s">
        <v>179</v>
      </c>
      <c r="C7" s="71" t="n">
        <f aca="false">'Lot A - Forum'!F7</f>
        <v>12500</v>
      </c>
      <c r="D7" s="72" t="n">
        <v>7400</v>
      </c>
      <c r="E7" s="71" t="n">
        <f aca="false">C7-D7</f>
        <v>5100</v>
      </c>
      <c r="F7" s="73" t="n">
        <f aca="false">IF(D7=0,"n/a",C7/D7-1)</f>
        <v>0.689189189189189</v>
      </c>
      <c r="G7" s="26" t="s">
        <v>180</v>
      </c>
    </row>
    <row r="8" customFormat="false" ht="15.75" hidden="false" customHeight="true" outlineLevel="0" collapsed="false">
      <c r="A8" s="69" t="s">
        <v>74</v>
      </c>
      <c r="B8" s="70" t="s">
        <v>181</v>
      </c>
      <c r="C8" s="71" t="n">
        <f aca="false">'Lot A - Forum'!F8</f>
        <v>19500</v>
      </c>
      <c r="D8" s="72" t="n">
        <v>12250</v>
      </c>
      <c r="E8" s="71" t="n">
        <f aca="false">C8-D8</f>
        <v>7250</v>
      </c>
      <c r="F8" s="73" t="n">
        <f aca="false">IF(D8=0,"n/a",C8/D8-1)</f>
        <v>0.591836734693878</v>
      </c>
      <c r="G8" s="26" t="s">
        <v>182</v>
      </c>
    </row>
    <row r="9" customFormat="false" ht="15.75" hidden="false" customHeight="true" outlineLevel="0" collapsed="false">
      <c r="A9" s="69" t="s">
        <v>76</v>
      </c>
      <c r="B9" s="70" t="s">
        <v>183</v>
      </c>
      <c r="C9" s="71" t="n">
        <f aca="false">'Lot A - Forum'!F9</f>
        <v>10500</v>
      </c>
      <c r="D9" s="72" t="n">
        <v>6500</v>
      </c>
      <c r="E9" s="71" t="n">
        <f aca="false">C9-D9</f>
        <v>4000</v>
      </c>
      <c r="F9" s="73" t="n">
        <f aca="false">IF(D9=0,"n/a",C9/D9-1)</f>
        <v>0.615384615384615</v>
      </c>
      <c r="G9" s="26" t="s">
        <v>184</v>
      </c>
    </row>
    <row r="10" customFormat="false" ht="15.75" hidden="false" customHeight="true" outlineLevel="0" collapsed="false">
      <c r="A10" s="69" t="s">
        <v>78</v>
      </c>
      <c r="B10" s="70" t="s">
        <v>185</v>
      </c>
      <c r="C10" s="71" t="n">
        <f aca="false">'Lot A - Forum'!F10</f>
        <v>13500</v>
      </c>
      <c r="D10" s="72" t="n">
        <v>8500</v>
      </c>
      <c r="E10" s="71" t="n">
        <f aca="false">C10-D10</f>
        <v>5000</v>
      </c>
      <c r="F10" s="73" t="n">
        <f aca="false">IF(D10=0,"n/a",C10/D10-1)</f>
        <v>0.588235294117647</v>
      </c>
      <c r="G10" s="26" t="s">
        <v>186</v>
      </c>
    </row>
    <row r="11" customFormat="false" ht="15.75" hidden="false" customHeight="true" outlineLevel="0" collapsed="false">
      <c r="A11" s="69" t="s">
        <v>80</v>
      </c>
      <c r="B11" s="70" t="s">
        <v>187</v>
      </c>
      <c r="C11" s="71" t="n">
        <f aca="false">'Lot A - Forum'!F11</f>
        <v>5400</v>
      </c>
      <c r="D11" s="72" t="n">
        <v>3200</v>
      </c>
      <c r="E11" s="71" t="n">
        <f aca="false">C11-D11</f>
        <v>2200</v>
      </c>
      <c r="F11" s="73" t="n">
        <f aca="false">IF(D11=0,"n/a",C11/D11-1)</f>
        <v>0.6875</v>
      </c>
      <c r="G11" s="26" t="s">
        <v>188</v>
      </c>
    </row>
    <row r="12" customFormat="false" ht="15.75" hidden="false" customHeight="true" outlineLevel="0" collapsed="false">
      <c r="A12" s="69" t="s">
        <v>83</v>
      </c>
      <c r="B12" s="70" t="s">
        <v>189</v>
      </c>
      <c r="C12" s="71" t="n">
        <f aca="false">'Lot A - Forum'!F12</f>
        <v>26500</v>
      </c>
      <c r="D12" s="72" t="n">
        <v>15500</v>
      </c>
      <c r="E12" s="71" t="n">
        <f aca="false">C12-D12</f>
        <v>11000</v>
      </c>
      <c r="F12" s="73" t="n">
        <f aca="false">IF(D12=0,"n/a",C12/D12-1)</f>
        <v>0.709677419354839</v>
      </c>
      <c r="G12" s="26" t="s">
        <v>190</v>
      </c>
    </row>
    <row r="13" customFormat="false" ht="15.75" hidden="false" customHeight="true" outlineLevel="0" collapsed="false">
      <c r="A13" s="69" t="s">
        <v>85</v>
      </c>
      <c r="B13" s="70" t="s">
        <v>191</v>
      </c>
      <c r="C13" s="71" t="n">
        <f aca="false">'Lot A - Forum'!F13</f>
        <v>34500</v>
      </c>
      <c r="D13" s="72" t="n">
        <v>20500</v>
      </c>
      <c r="E13" s="71" t="n">
        <f aca="false">C13-D13</f>
        <v>14000</v>
      </c>
      <c r="F13" s="73" t="n">
        <f aca="false">IF(D13=0,"n/a",C13/D13-1)</f>
        <v>0.682926829268293</v>
      </c>
      <c r="G13" s="26" t="s">
        <v>192</v>
      </c>
    </row>
    <row r="14" customFormat="false" ht="15.75" hidden="false" customHeight="true" outlineLevel="0" collapsed="false">
      <c r="A14" s="69" t="s">
        <v>87</v>
      </c>
      <c r="B14" s="70" t="s">
        <v>193</v>
      </c>
      <c r="C14" s="71" t="n">
        <f aca="false">'Lot A - Forum'!F14</f>
        <v>12600</v>
      </c>
      <c r="D14" s="72" t="n">
        <v>6300</v>
      </c>
      <c r="E14" s="71" t="n">
        <f aca="false">C14-D14</f>
        <v>6300</v>
      </c>
      <c r="F14" s="73" t="n">
        <f aca="false">IF(D14=0,"n/a",C14/D14-1)</f>
        <v>1</v>
      </c>
      <c r="G14" s="26" t="s">
        <v>194</v>
      </c>
    </row>
    <row r="15" customFormat="false" ht="15.75" hidden="false" customHeight="true" outlineLevel="0" collapsed="false">
      <c r="A15" s="69" t="s">
        <v>89</v>
      </c>
      <c r="B15" s="70" t="s">
        <v>195</v>
      </c>
      <c r="C15" s="71" t="n">
        <f aca="false">'Lot A - Forum'!F15</f>
        <v>5000</v>
      </c>
      <c r="D15" s="72" t="n">
        <v>2800</v>
      </c>
      <c r="E15" s="71" t="n">
        <f aca="false">C15-D15</f>
        <v>2200</v>
      </c>
      <c r="F15" s="73" t="n">
        <f aca="false">IF(D15=0,"n/a",C15/D15-1)</f>
        <v>0.785714285714286</v>
      </c>
      <c r="G15" s="26" t="s">
        <v>196</v>
      </c>
    </row>
    <row r="16" customFormat="false" ht="15.75" hidden="false" customHeight="true" outlineLevel="0" collapsed="false">
      <c r="A16" s="69" t="s">
        <v>95</v>
      </c>
      <c r="B16" s="70" t="s">
        <v>197</v>
      </c>
      <c r="C16" s="71" t="n">
        <f aca="false">'Lot A - Forum'!F17</f>
        <v>5500</v>
      </c>
      <c r="D16" s="72" t="n">
        <v>2500</v>
      </c>
      <c r="E16" s="71" t="n">
        <f aca="false">C16-D16</f>
        <v>3000</v>
      </c>
      <c r="F16" s="73" t="n">
        <f aca="false">IF(D16=0,"n/a",C16/D16-1)</f>
        <v>1.2</v>
      </c>
      <c r="G16" s="26" t="s">
        <v>198</v>
      </c>
    </row>
    <row r="17" customFormat="false" ht="27" hidden="false" customHeight="true" outlineLevel="0" collapsed="false">
      <c r="A17" s="69" t="s">
        <v>97</v>
      </c>
      <c r="B17" s="70" t="s">
        <v>199</v>
      </c>
      <c r="C17" s="71" t="n">
        <f aca="false">'Lot A - Forum'!F18</f>
        <v>11500</v>
      </c>
      <c r="D17" s="72" t="n">
        <v>6000</v>
      </c>
      <c r="E17" s="71" t="n">
        <f aca="false">C17-D17</f>
        <v>5500</v>
      </c>
      <c r="F17" s="73" t="n">
        <f aca="false">IF(D17=0,"n/a",C17/D17-1)</f>
        <v>0.916666666666667</v>
      </c>
      <c r="G17" s="26" t="s">
        <v>200</v>
      </c>
    </row>
    <row r="18" customFormat="false" ht="15.75" hidden="false" customHeight="true" outlineLevel="0" collapsed="false">
      <c r="A18" s="69" t="s">
        <v>99</v>
      </c>
      <c r="B18" s="70" t="s">
        <v>201</v>
      </c>
      <c r="C18" s="71" t="n">
        <f aca="false">'Lot A - Forum'!F19</f>
        <v>9500</v>
      </c>
      <c r="D18" s="72" t="n">
        <v>6500</v>
      </c>
      <c r="E18" s="71" t="n">
        <f aca="false">C18-D18</f>
        <v>3000</v>
      </c>
      <c r="F18" s="73" t="n">
        <f aca="false">IF(D18=0,"n/a",C18/D18-1)</f>
        <v>0.461538461538461</v>
      </c>
      <c r="G18" s="26" t="s">
        <v>202</v>
      </c>
    </row>
    <row r="19" customFormat="false" ht="37.5" hidden="false" customHeight="true" outlineLevel="0" collapsed="false">
      <c r="A19" s="69" t="s">
        <v>203</v>
      </c>
      <c r="B19" s="70" t="s">
        <v>204</v>
      </c>
      <c r="C19" s="71" t="n">
        <f aca="false">'Lot B - Pavilion'!F5</f>
        <v>232000</v>
      </c>
      <c r="D19" s="72" t="n">
        <v>130435</v>
      </c>
      <c r="E19" s="71" t="n">
        <f aca="false">C19-D19</f>
        <v>101565</v>
      </c>
      <c r="F19" s="73" t="n">
        <f aca="false">IF(D19=0,"n/a",C19/D19-1)</f>
        <v>0.778663702227163</v>
      </c>
      <c r="G19" s="26" t="s">
        <v>205</v>
      </c>
    </row>
    <row r="20" customFormat="false" ht="27" hidden="false" customHeight="true" outlineLevel="0" collapsed="false">
      <c r="A20" s="69" t="s">
        <v>113</v>
      </c>
      <c r="B20" s="70" t="s">
        <v>206</v>
      </c>
      <c r="C20" s="71" t="n">
        <f aca="false">'Lot B - Pavilion'!F6</f>
        <v>17000</v>
      </c>
      <c r="D20" s="72" t="n">
        <v>6000</v>
      </c>
      <c r="E20" s="71" t="n">
        <f aca="false">C20-D20</f>
        <v>11000</v>
      </c>
      <c r="F20" s="73" t="n">
        <f aca="false">IF(D20=0,"n/a",C20/D20-1)</f>
        <v>1.83333333333333</v>
      </c>
      <c r="G20" s="26" t="s">
        <v>207</v>
      </c>
    </row>
    <row r="21" customFormat="false" ht="15.75" hidden="false" customHeight="true" outlineLevel="0" collapsed="false">
      <c r="A21" s="69" t="s">
        <v>116</v>
      </c>
      <c r="B21" s="70" t="s">
        <v>208</v>
      </c>
      <c r="C21" s="71" t="n">
        <f aca="false">'Lot B - Pavilion'!F7</f>
        <v>19200</v>
      </c>
      <c r="D21" s="72" t="n">
        <v>10000</v>
      </c>
      <c r="E21" s="71" t="n">
        <f aca="false">C21-D21</f>
        <v>9200</v>
      </c>
      <c r="F21" s="73" t="n">
        <f aca="false">IF(D21=0,"n/a",C21/D21-1)</f>
        <v>0.92</v>
      </c>
      <c r="G21" s="26" t="s">
        <v>209</v>
      </c>
    </row>
    <row r="22" customFormat="false" ht="15.75" hidden="false" customHeight="true" outlineLevel="0" collapsed="false">
      <c r="A22" s="69" t="s">
        <v>118</v>
      </c>
      <c r="B22" s="70" t="s">
        <v>210</v>
      </c>
      <c r="C22" s="71" t="n">
        <f aca="false">'Lot B - Pavilion'!F8</f>
        <v>3080</v>
      </c>
      <c r="D22" s="72" t="n">
        <v>1320</v>
      </c>
      <c r="E22" s="71" t="n">
        <f aca="false">C22-D22</f>
        <v>1760</v>
      </c>
      <c r="F22" s="73" t="n">
        <f aca="false">IF(D22=0,"n/a",C22/D22-1)</f>
        <v>1.33333333333333</v>
      </c>
      <c r="G22" s="26" t="s">
        <v>211</v>
      </c>
    </row>
    <row r="23" customFormat="false" ht="15.75" hidden="false" customHeight="true" outlineLevel="0" collapsed="false">
      <c r="A23" s="69" t="s">
        <v>121</v>
      </c>
      <c r="B23" s="70" t="s">
        <v>212</v>
      </c>
      <c r="C23" s="71" t="n">
        <f aca="false">'Lot B - Pavilion'!F9</f>
        <v>7400</v>
      </c>
      <c r="D23" s="72" t="n">
        <v>4800</v>
      </c>
      <c r="E23" s="71" t="n">
        <f aca="false">C23-D23</f>
        <v>2600</v>
      </c>
      <c r="F23" s="73" t="n">
        <f aca="false">IF(D23=0,"n/a",C23/D23-1)</f>
        <v>0.541666666666667</v>
      </c>
      <c r="G23" s="26" t="s">
        <v>213</v>
      </c>
    </row>
    <row r="24" customFormat="false" ht="27" hidden="false" customHeight="true" outlineLevel="0" collapsed="false">
      <c r="A24" s="69" t="s">
        <v>123</v>
      </c>
      <c r="B24" s="70" t="s">
        <v>214</v>
      </c>
      <c r="C24" s="71" t="n">
        <f aca="false">'Lot B - Pavilion'!F10</f>
        <v>39000</v>
      </c>
      <c r="D24" s="72" t="n">
        <v>24000</v>
      </c>
      <c r="E24" s="71" t="n">
        <f aca="false">C24-D24</f>
        <v>15000</v>
      </c>
      <c r="F24" s="73" t="n">
        <f aca="false">IF(D24=0,"n/a",C24/D24-1)</f>
        <v>0.625</v>
      </c>
      <c r="G24" s="26" t="s">
        <v>215</v>
      </c>
    </row>
    <row r="25" customFormat="false" ht="15" hidden="false" customHeight="false" outlineLevel="0" collapsed="false">
      <c r="A25" s="54"/>
      <c r="B25" s="74" t="s">
        <v>216</v>
      </c>
      <c r="C25" s="75" t="n">
        <f aca="false">SUM(C5:C24)</f>
        <v>827680</v>
      </c>
      <c r="D25" s="75" t="n">
        <f aca="false">SUM(D5:D24)</f>
        <v>609505</v>
      </c>
      <c r="E25" s="75" t="n">
        <f aca="false">C25-D25</f>
        <v>218175</v>
      </c>
      <c r="F25" s="76" t="n">
        <f aca="false">IF(D25=0,"n/a",C25/D25-1)</f>
        <v>0.357954405624236</v>
      </c>
      <c r="G25" s="54"/>
    </row>
    <row r="26" customFormat="false" ht="15" hidden="false" customHeight="false" outlineLevel="0" collapsed="false">
      <c r="B26" s="77" t="s">
        <v>217</v>
      </c>
      <c r="C26" s="78" t="n">
        <f aca="false">'Lot A - Forum'!F21+'Lot B - Pavilion'!F12</f>
        <v>99321.6</v>
      </c>
    </row>
    <row r="28" customFormat="false" ht="39.75" hidden="false" customHeight="true" outlineLevel="0" collapsed="false">
      <c r="A28" s="62" t="s">
        <v>218</v>
      </c>
      <c r="B28" s="62"/>
      <c r="C28" s="62"/>
      <c r="D28" s="62"/>
      <c r="E28" s="62"/>
      <c r="F28" s="62"/>
      <c r="G28" s="62"/>
    </row>
  </sheetData>
  <mergeCells count="3">
    <mergeCell ref="A1:G1"/>
    <mergeCell ref="A2:G2"/>
    <mergeCell ref="A28:G28"/>
  </mergeCells>
  <printOptions headings="false" gridLines="false" gridLinesSet="true" horizontalCentered="false" verticalCentered="false"/>
  <pageMargins left="0.45" right="0.45" top="0.5" bottom="0.5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&amp;C&amp;"Arial,Regular"&amp;8 &amp;K5b6b6eMiradore Experiences — Riyadh, KSA   | 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2026-07-21T07:33:50Z</dcterms:created>
  <dc:creator>Miradore Experiences</dc:creator>
  <dc:description/>
  <dc:language>en-US</dc:language>
  <cp:lastModifiedBy/>
  <dcterms:modified xsi:type="dcterms:W3CDTF">2026-07-21T07:33:50Z</dcterms:modified>
  <cp:revision>0</cp:revision>
  <dc:subject/>
  <dc:title>PSEB LEAP 2026 — Commercial Proposal — Miradore Experiences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